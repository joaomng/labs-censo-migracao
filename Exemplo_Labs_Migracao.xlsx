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gracao" sheetId="1" r:id="rId5"/>
    <sheet state="visible" name="P1" sheetId="2" r:id="rId6"/>
  </sheets>
  <definedNames/>
  <calcPr/>
</workbook>
</file>

<file path=xl/sharedStrings.xml><?xml version="1.0" encoding="utf-8"?>
<sst xmlns="http://schemas.openxmlformats.org/spreadsheetml/2006/main" count="478" uniqueCount="87">
  <si>
    <t xml:space="preserve">Cabeçalho - Tipo do registro        </t>
  </si>
  <si>
    <t xml:space="preserve">Cabeçalho - ID da IES no INEP        </t>
  </si>
  <si>
    <t>Reg.Lab - tipo do registro</t>
  </si>
  <si>
    <t>Nome do Lab</t>
  </si>
  <si>
    <t>Registro do Lab</t>
  </si>
  <si>
    <t>O lab esteve ativo em 2025?</t>
  </si>
  <si>
    <t>Descrição das atividades do laboratório (ate 2000 caracteres)</t>
  </si>
  <si>
    <t>Palavras-chave (até 100 caracteres)</t>
  </si>
  <si>
    <t>O laboratório é de informática?</t>
  </si>
  <si>
    <t>Área de conhecimento do laboratório. Ciências Exatas e da Terra</t>
  </si>
  <si>
    <t>Área de conhecimento do laboratório. Ciências Biológicas</t>
  </si>
  <si>
    <t>Área de conhecimento do laboratório. Engenharias</t>
  </si>
  <si>
    <t>Área de conhecimento do laboratório.  Ciência da Saúde</t>
  </si>
  <si>
    <t>Área de conhecimento do laboratório. Ciências Agrárias</t>
  </si>
  <si>
    <t>Área de conhecimento do laboratório. Ciências Sociais Aplicadas</t>
  </si>
  <si>
    <t>Área de conhecimento do laboratório. Ciências Humanas</t>
  </si>
  <si>
    <t>Área de conhecimento do laboratório. Linguística, Letras e Artes</t>
  </si>
  <si>
    <t>O laboratório é itinerante?</t>
  </si>
  <si>
    <t>Além dos alunos de graduação, houve outros estudantes que utilizaram o laboratório durante o ano letivo de 2025?</t>
  </si>
  <si>
    <t>Durante o ano letivo de 2025, o laboratório foi utilizado para a finalidade de Ensino?</t>
  </si>
  <si>
    <t>Durante o ano letivo de 2025, o laboratório foi utilizado para a finalidade de Pesquisa?</t>
  </si>
  <si>
    <t>Durante o ano letivo de 2025, o laboratório foi utilizado para a finalidade de Extensão?</t>
  </si>
  <si>
    <t xml:space="preserve">Durante o ano letivo de 2025, o laboratório executou plano, procedimento ou protocolo formal de Política de acesso e agendamento?	</t>
  </si>
  <si>
    <t>Durante o ano letivo de 2025, o laboratório executou plano, procedimento ou protocolo formal de Manutenção?</t>
  </si>
  <si>
    <t xml:space="preserve">Durante o ano letivo de 2025, o laboratório executou plano, procedimento ou protocolo formal de Gerenciamento de riscos?	</t>
  </si>
  <si>
    <t xml:space="preserve">Durante o ano letivo de 2025, o laboratório executou plano, procedimento ou protocolo formal de gerenciamento de resíduos?	</t>
  </si>
  <si>
    <t xml:space="preserve">O laboratório está localizado em algum local de oferta da IES?	</t>
  </si>
  <si>
    <t xml:space="preserve">Código do local de oferta	</t>
  </si>
  <si>
    <t>Código da UF do laboratório</t>
  </si>
  <si>
    <t xml:space="preserve">Código do município do laboratório	</t>
  </si>
  <si>
    <t>Tipo de registro - vínculo ao curso</t>
  </si>
  <si>
    <t>Código do Curso no INEP</t>
  </si>
  <si>
    <t>Nome do laboratório</t>
  </si>
  <si>
    <t>Registro do laboratório</t>
  </si>
  <si>
    <t>Descrição das atividades do laboratório (Máximo de 2000 caracteres)</t>
  </si>
  <si>
    <t>Palavras-chave (até 3 palavras)</t>
  </si>
  <si>
    <t>Qual a área de conhecimento do laboratório?
(opção 1)</t>
  </si>
  <si>
    <t>Qual a área de conhecimento do laboratório?
(opção 2)</t>
  </si>
  <si>
    <t>Em 2025, o laboratório foi utilizado para quais finalidades?</t>
  </si>
  <si>
    <r>
      <rPr>
        <rFont val="Cambria"/>
        <color theme="1"/>
        <sz val="12.0"/>
      </rPr>
      <t xml:space="preserve">Durante o ano letivo de 2025, o laboratório executou plano, procedimento ou protocolo formal de </t>
    </r>
    <r>
      <rPr>
        <rFont val="Cambria"/>
        <b/>
        <color theme="1"/>
        <sz val="12.0"/>
      </rPr>
      <t>Política de acesso e agendamento</t>
    </r>
    <r>
      <rPr>
        <rFont val="Cambria"/>
        <color theme="1"/>
        <sz val="12.0"/>
      </rPr>
      <t>?</t>
    </r>
  </si>
  <si>
    <r>
      <rPr>
        <rFont val="Cambria"/>
        <color theme="1"/>
        <sz val="12.0"/>
      </rPr>
      <t xml:space="preserve">Durante o ano letivo de 2025, o laboratório executou plano, procedimento ou protocolo formal de </t>
    </r>
    <r>
      <rPr>
        <rFont val="Cambria"/>
        <b/>
        <color theme="1"/>
        <sz val="12.0"/>
      </rPr>
      <t>Manutenção</t>
    </r>
    <r>
      <rPr>
        <rFont val="Cambria"/>
        <color theme="1"/>
        <sz val="12.0"/>
      </rPr>
      <t>?</t>
    </r>
  </si>
  <si>
    <r>
      <rPr>
        <rFont val="Cambria"/>
        <color theme="1"/>
        <sz val="12.0"/>
      </rPr>
      <t xml:space="preserve">Durante o ano letivo de 2025, o laboratório executou plano, procedimento ou protocolo formal de </t>
    </r>
    <r>
      <rPr>
        <rFont val="Cambria"/>
        <b/>
        <color theme="1"/>
        <sz val="12.0"/>
      </rPr>
      <t>Gerenciamento de riscos</t>
    </r>
    <r>
      <rPr>
        <rFont val="Cambria"/>
        <color theme="1"/>
        <sz val="12.0"/>
      </rPr>
      <t>?</t>
    </r>
  </si>
  <si>
    <r>
      <rPr>
        <rFont val="Cambria"/>
        <color theme="1"/>
        <sz val="12.0"/>
      </rPr>
      <t xml:space="preserve">Durante o ano letivo de 2025, o laboratório executou plano, procedimento ou protocolo formal de </t>
    </r>
    <r>
      <rPr>
        <rFont val="Cambria"/>
        <b/>
        <color theme="1"/>
        <sz val="12.0"/>
      </rPr>
      <t>Gerenciamento de resíduos</t>
    </r>
    <r>
      <rPr>
        <rFont val="Cambria"/>
        <color theme="1"/>
        <sz val="12.0"/>
      </rPr>
      <t>?</t>
    </r>
  </si>
  <si>
    <r>
      <rPr>
        <rFont val="Cambria"/>
        <color theme="1"/>
        <sz val="12.0"/>
      </rPr>
      <t xml:space="preserve">Se </t>
    </r>
    <r>
      <rPr>
        <rFont val="Cambria"/>
        <b/>
        <color theme="1"/>
        <sz val="12.0"/>
      </rPr>
      <t>não</t>
    </r>
    <r>
      <rPr>
        <rFont val="Cambria"/>
        <color theme="1"/>
        <sz val="12.0"/>
      </rPr>
      <t xml:space="preserve"> for itinerante, em qual município está localizado o laboratório?</t>
    </r>
  </si>
  <si>
    <t>Quais cursos de graduação utilizam o laboratório? 
(Código e-MEC, nome do curso e local de oferta)</t>
  </si>
  <si>
    <t xml:space="preserve">NOME </t>
  </si>
  <si>
    <t>COD_LAB_1</t>
  </si>
  <si>
    <t>DESCRIÇÃO</t>
  </si>
  <si>
    <t xml:space="preserve">palavra-chave 1, palavra-chave 2, palavra-chave 3 </t>
  </si>
  <si>
    <t>Não</t>
  </si>
  <si>
    <t>Ciências Humanas</t>
  </si>
  <si>
    <t>Sim</t>
  </si>
  <si>
    <t>Ensino pesquisa e extensão</t>
  </si>
  <si>
    <t>Não se aplica</t>
  </si>
  <si>
    <t xml:space="preserve">Rio de Janeiro </t>
  </si>
  <si>
    <t>COD_CURSO</t>
  </si>
  <si>
    <t>COD_LAB_2</t>
  </si>
  <si>
    <t>Ciências Socias Aplicadas</t>
  </si>
  <si>
    <t>COD_LAB_3</t>
  </si>
  <si>
    <t>Letras e Artes</t>
  </si>
  <si>
    <t>COD_LAB_4</t>
  </si>
  <si>
    <t>Rio de Janeiro</t>
  </si>
  <si>
    <t>COD_LAB_5</t>
  </si>
  <si>
    <t>COD_LAB_6</t>
  </si>
  <si>
    <t>COD_LAB_7</t>
  </si>
  <si>
    <t>COD_LAB_8</t>
  </si>
  <si>
    <t>COD_LAB_9</t>
  </si>
  <si>
    <t>COD_LAB_10</t>
  </si>
  <si>
    <t>COD_LAB_11</t>
  </si>
  <si>
    <t>COD_LAB_12</t>
  </si>
  <si>
    <t>COD_LAB_13</t>
  </si>
  <si>
    <t>COD_LAB_14</t>
  </si>
  <si>
    <t>COD_LAB_15</t>
  </si>
  <si>
    <t>COD_LAB_16</t>
  </si>
  <si>
    <t>COD_LAB_17</t>
  </si>
  <si>
    <t>COD_LAB_18</t>
  </si>
  <si>
    <t>COD_LAB_19</t>
  </si>
  <si>
    <t>COD_LAB_20</t>
  </si>
  <si>
    <t>RIo de Janeiro</t>
  </si>
  <si>
    <t>COD_LAB_21</t>
  </si>
  <si>
    <t>COD_LAB_22</t>
  </si>
  <si>
    <t>COD_LAB_23</t>
  </si>
  <si>
    <t>COD_LAB_24</t>
  </si>
  <si>
    <t>COD_LAB_25</t>
  </si>
  <si>
    <t>COD_LAB_26</t>
  </si>
  <si>
    <t>COD_LAB_27</t>
  </si>
  <si>
    <t xml:space="preserve">Não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</si>
</sst>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sz val="10.0"/>
      <color theme="1"/>
      <name val="Calibri"/>
    </font>
    <font>
      <sz val="7.0"/>
      <color theme="1"/>
      <name val="Calibri"/>
    </font>
    <font>
      <sz val="10.0"/>
      <color theme="1"/>
      <name val="Arial"/>
      <scheme val="minor"/>
    </font>
    <font>
      <sz val="12.0"/>
      <color theme="1"/>
      <name val="Cambria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46BDC6"/>
        <bgColor rgb="FF46BDC6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1" fillId="2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shrinkToFit="0" vertical="bottom" wrapText="1"/>
    </xf>
    <xf borderId="0" fillId="2" fontId="2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3" fillId="3" fontId="3" numFmtId="0" xfId="0" applyAlignment="1" applyBorder="1" applyFill="1" applyFont="1">
      <alignment horizontal="right" readingOrder="0" shrinkToFit="0" vertical="bottom" wrapText="1"/>
    </xf>
    <xf borderId="3" fillId="4" fontId="3" numFmtId="0" xfId="0" applyAlignment="1" applyBorder="1" applyFill="1" applyFont="1">
      <alignment horizontal="right" readingOrder="0" shrinkToFit="0" vertical="bottom" wrapText="1"/>
    </xf>
    <xf borderId="3" fillId="3" fontId="4" numFmtId="0" xfId="0" applyAlignment="1" applyBorder="1" applyFont="1">
      <alignment horizontal="right" shrinkToFit="0" vertical="bottom" wrapText="1"/>
    </xf>
    <xf borderId="3" fillId="4" fontId="4" numFmtId="0" xfId="0" applyAlignment="1" applyBorder="1" applyFont="1">
      <alignment horizontal="right" shrinkToFit="0" vertical="bottom" wrapText="1"/>
    </xf>
    <xf borderId="0" fillId="0" fontId="5" numFmtId="0" xfId="0" applyFont="1"/>
    <xf borderId="3" fillId="5" fontId="6" numFmtId="0" xfId="0" applyAlignment="1" applyBorder="1" applyFill="1" applyFont="1">
      <alignment shrinkToFit="0" vertical="top" wrapText="1"/>
    </xf>
    <xf borderId="3" fillId="6" fontId="6" numFmtId="0" xfId="0" applyAlignment="1" applyBorder="1" applyFill="1" applyFont="1">
      <alignment shrinkToFit="0" vertical="top" wrapText="1"/>
    </xf>
    <xf borderId="3" fillId="7" fontId="6" numFmtId="0" xfId="0" applyAlignment="1" applyBorder="1" applyFill="1" applyFont="1">
      <alignment shrinkToFit="0" vertical="top" wrapText="1"/>
    </xf>
    <xf borderId="3" fillId="8" fontId="6" numFmtId="0" xfId="0" applyAlignment="1" applyBorder="1" applyFill="1" applyFont="1">
      <alignment shrinkToFit="0" vertical="top" wrapText="1"/>
    </xf>
    <xf borderId="3" fillId="9" fontId="6" numFmtId="0" xfId="0" applyAlignment="1" applyBorder="1" applyFill="1" applyFont="1">
      <alignment shrinkToFit="0" vertical="top" wrapText="1"/>
    </xf>
    <xf borderId="3" fillId="0" fontId="7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top"/>
    </xf>
    <xf borderId="4" fillId="4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6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</row>
    <row r="2">
      <c r="A2" s="6">
        <v>10.0</v>
      </c>
      <c r="B2" s="6">
        <v>586.0</v>
      </c>
      <c r="C2" s="6">
        <v>11.0</v>
      </c>
      <c r="D2" s="7" t="str">
        <f>('P1'!A2)</f>
        <v>NOME </v>
      </c>
      <c r="E2" s="8" t="str">
        <f>('P1'!B2)</f>
        <v>COD_LAB_1</v>
      </c>
      <c r="F2" s="6">
        <v>1.0</v>
      </c>
      <c r="G2" s="7" t="str">
        <f>('P1'!C2)</f>
        <v>DESCRIÇÃO</v>
      </c>
      <c r="H2" s="8" t="str">
        <f>('P1'!D2)</f>
        <v>palavra-chave 1, palavra-chave 2, palavra-chave 3 </v>
      </c>
      <c r="I2" s="6">
        <f>IF('P1'!E2="Sim", 1, 0)</f>
        <v>0</v>
      </c>
      <c r="J2" s="6">
        <f>IF(OR('P1'!F2="Ciências Exatas e da Terra", 'P1'!G2="Ciências Exatas e da Terra"), 1, 0)</f>
        <v>0</v>
      </c>
      <c r="K2" s="6">
        <f>IF(OR('P1'!F2="Ciências Biológicas", 'P1'!G2="Ciências Biológicas"), 1, 0)</f>
        <v>0</v>
      </c>
      <c r="L2" s="6">
        <f>IF(OR('P1'!F2="Engenharias", 'P1'!G2="Engenharias"), 1, 0)</f>
        <v>0</v>
      </c>
      <c r="M2" s="6">
        <f>IF(OR('P1'!F2="Ciências da Saúde", 'P1'!G2="Ciências da Saúde"), 1, 0)</f>
        <v>0</v>
      </c>
      <c r="N2" s="6">
        <f>IF(OR('P1'!F2="Ciências Agrárias", 'P1'!G2="Ciências Agrárias"), 1, 0)</f>
        <v>0</v>
      </c>
      <c r="O2" s="6">
        <f>IF(OR('P1'!F2="Ciências Socias Aplicadas", 'P1'!G2="Ciências Socias Aplicadas"), 1, 0)</f>
        <v>0</v>
      </c>
      <c r="P2" s="6">
        <f>IF(OR('P1'!F2="Ciências Humanas", 'P1'!G2="Ciências Humanas"), 1, 0)</f>
        <v>1</v>
      </c>
      <c r="Q2" s="6">
        <f>IF(OR(OR('P1'!F2="Linguística", 'P1'!G2="Linguística"),'P1'!F2="Letras e Artes", 'P1'!G2="Letras e Artes"), 1, 0)</f>
        <v>0</v>
      </c>
      <c r="R2" s="6">
        <f>IF('P1'!N2="Sim", 1, 0)</f>
        <v>0</v>
      </c>
      <c r="S2" s="6">
        <f>IF('P1'!H2="Sim", 1, 0)</f>
        <v>1</v>
      </c>
      <c r="T2" s="6">
        <f>IFERROR(__xludf.DUMMYFUNCTION("IF(REGEXMATCH('P1'!I2, ""Ensino""), 1,0)"),1.0)</f>
        <v>1</v>
      </c>
      <c r="U2" s="6">
        <f>IFERROR(__xludf.DUMMYFUNCTION("IF(REGEXMATCH('P1'!I2, ""Pesquisa|pesquisa""), 1,0)"),1.0)</f>
        <v>1</v>
      </c>
      <c r="V2" s="6">
        <f>IFERROR(__xludf.DUMMYFUNCTION("IF(REGEXMATCH('P1'!I2, ""Extensão|extensão""), 1,0)"),1.0)</f>
        <v>1</v>
      </c>
      <c r="W2" s="6">
        <f>IF('P1'!J2="Sim", 1,IF('P1'!J2="Não",0,2))</f>
        <v>2</v>
      </c>
      <c r="X2" s="6">
        <f>IF('P1'!K2="Sim", 1,IF('P1'!K2="Não",0,2))</f>
        <v>2</v>
      </c>
      <c r="Y2" s="6">
        <f>IF('P1'!L2="Sim", 1,IF('P1'!L2="Não",0,2))</f>
        <v>2</v>
      </c>
      <c r="Z2" s="6">
        <f>IF('P1'!M2="Sim", 1,IF('P1'!M2="Não",0,2))</f>
        <v>2</v>
      </c>
      <c r="AA2" s="6">
        <v>1.0</v>
      </c>
      <c r="AB2" s="9">
        <v>997.0</v>
      </c>
      <c r="AC2" s="6">
        <v>33.0</v>
      </c>
      <c r="AD2" s="6">
        <v>3304557.0</v>
      </c>
      <c r="AE2" s="6">
        <v>12.0</v>
      </c>
      <c r="AF2" s="10">
        <v>107716.0</v>
      </c>
      <c r="AG2" s="11">
        <v>107717.0</v>
      </c>
      <c r="AH2" s="12"/>
      <c r="AI2" s="13"/>
      <c r="AJ2" s="12"/>
      <c r="AK2" s="13"/>
      <c r="AL2" s="12"/>
      <c r="AM2" s="13"/>
      <c r="AN2" s="12"/>
      <c r="AO2" s="13"/>
      <c r="AP2" s="12"/>
      <c r="AQ2" s="13"/>
      <c r="AR2" s="12"/>
      <c r="AS2" s="13"/>
      <c r="AT2" s="12"/>
      <c r="AU2" s="13"/>
      <c r="AV2" s="12"/>
      <c r="AW2" s="13"/>
      <c r="AX2" s="12"/>
      <c r="AY2" s="13"/>
      <c r="AZ2" s="12"/>
      <c r="BA2" s="13"/>
      <c r="BB2" s="12"/>
      <c r="BC2" s="13"/>
      <c r="BD2" s="13"/>
      <c r="BE2" s="12"/>
      <c r="BF2" s="8"/>
      <c r="BG2" s="8"/>
      <c r="BH2" s="8"/>
      <c r="BI2" s="8"/>
      <c r="BJ2" s="8"/>
    </row>
    <row r="3">
      <c r="A3" s="6">
        <v>10.0</v>
      </c>
      <c r="B3" s="6">
        <v>586.0</v>
      </c>
      <c r="C3" s="6">
        <v>11.0</v>
      </c>
      <c r="D3" s="7" t="str">
        <f>('P1'!A3)</f>
        <v>NOME </v>
      </c>
      <c r="E3" s="8" t="str">
        <f>('P1'!B3)</f>
        <v>COD_LAB_2</v>
      </c>
      <c r="F3" s="6">
        <v>1.0</v>
      </c>
      <c r="G3" s="7" t="str">
        <f>('P1'!C3)</f>
        <v>DESCRIÇÃO</v>
      </c>
      <c r="H3" s="8" t="str">
        <f>('P1'!D3)</f>
        <v>palavra-chave 1, palavra-chave 2, palavra-chave 3 </v>
      </c>
      <c r="I3" s="6">
        <f>IF('P1'!E3="Sim", 1, 0)</f>
        <v>0</v>
      </c>
      <c r="J3" s="6">
        <f>IF(OR('P1'!F3="Ciências Exatas e da Terra", 'P1'!G3="Ciências Exatas e da Terra"), 1, 0)</f>
        <v>0</v>
      </c>
      <c r="K3" s="6">
        <f>IF(OR('P1'!F3="Ciências Biológicas", 'P1'!G3="Ciências Biológicas"), 1, 0)</f>
        <v>0</v>
      </c>
      <c r="L3" s="6">
        <f>IF(OR('P1'!F3="Engenharias", 'P1'!G3="Engenharias"), 1, 0)</f>
        <v>0</v>
      </c>
      <c r="M3" s="6">
        <f>IF(OR('P1'!F3="Ciências da Saúde", 'P1'!G3="Ciências da Saúde"), 1, 0)</f>
        <v>0</v>
      </c>
      <c r="N3" s="6">
        <f>IF(OR('P1'!F3="Ciências Agrárias", 'P1'!G3="Ciências Agrárias"), 1, 0)</f>
        <v>0</v>
      </c>
      <c r="O3" s="6">
        <f>IF(OR('P1'!F3="Ciências Socias Aplicadas", 'P1'!G3="Ciências Socias Aplicadas"), 1, 0)</f>
        <v>1</v>
      </c>
      <c r="P3" s="6">
        <f>IF(OR('P1'!F3="Ciências Humanas", 'P1'!G3="Ciências Humanas"), 1, 0)</f>
        <v>1</v>
      </c>
      <c r="Q3" s="6">
        <f>IF(OR(OR('P1'!F3="Linguística", 'P1'!G3="Linguística"),'P1'!F3="Letras e Artes", 'P1'!G3="Letras e Artes"), 1, 0)</f>
        <v>0</v>
      </c>
      <c r="R3" s="6">
        <f>IF('P1'!N3="Sim", 1, 0)</f>
        <v>0</v>
      </c>
      <c r="S3" s="6">
        <f>IF('P1'!H3="Sim", 1, 0)</f>
        <v>1</v>
      </c>
      <c r="T3" s="6">
        <f>IFERROR(__xludf.DUMMYFUNCTION("IF(REGEXMATCH('P1'!I3, ""Ensino""), 1,0)"),1.0)</f>
        <v>1</v>
      </c>
      <c r="U3" s="6">
        <f>IFERROR(__xludf.DUMMYFUNCTION("IF(REGEXMATCH('P1'!I3, ""Pesquisa|pesquisa""), 1,0)"),1.0)</f>
        <v>1</v>
      </c>
      <c r="V3" s="6">
        <f>IFERROR(__xludf.DUMMYFUNCTION("IF(REGEXMATCH('P1'!I3, ""Extensão|extensão""), 1,0)"),1.0)</f>
        <v>1</v>
      </c>
      <c r="W3" s="6">
        <f>IF('P1'!J3="Sim", 1,IF('P1'!J3="Não",0,2))</f>
        <v>2</v>
      </c>
      <c r="X3" s="6">
        <f>IF('P1'!K3="Sim", 1,IF('P1'!K3="Não",0,2))</f>
        <v>2</v>
      </c>
      <c r="Y3" s="6">
        <f>IF('P1'!L3="Sim", 1,IF('P1'!L3="Não",0,2))</f>
        <v>2</v>
      </c>
      <c r="Z3" s="6">
        <f>IF('P1'!M3="Sim", 1,IF('P1'!M3="Não",0,2))</f>
        <v>2</v>
      </c>
      <c r="AA3" s="6">
        <v>1.0</v>
      </c>
      <c r="AB3" s="9">
        <v>997.0</v>
      </c>
      <c r="AC3" s="6">
        <v>33.0</v>
      </c>
      <c r="AD3" s="6">
        <v>3304557.0</v>
      </c>
      <c r="AE3" s="6">
        <v>12.0</v>
      </c>
      <c r="AF3" s="10">
        <v>107716.0</v>
      </c>
      <c r="AG3" s="11">
        <v>107717.0</v>
      </c>
    </row>
    <row r="4">
      <c r="A4" s="6">
        <v>10.0</v>
      </c>
      <c r="B4" s="6">
        <v>586.0</v>
      </c>
      <c r="C4" s="6">
        <v>11.0</v>
      </c>
      <c r="D4" s="7" t="str">
        <f>('P1'!A4)</f>
        <v>NOME </v>
      </c>
      <c r="E4" s="8" t="str">
        <f>('P1'!B4)</f>
        <v>COD_LAB_3</v>
      </c>
      <c r="F4" s="6">
        <v>1.0</v>
      </c>
      <c r="G4" s="7" t="str">
        <f>('P1'!C4)</f>
        <v>DESCRIÇÃO</v>
      </c>
      <c r="H4" s="8" t="str">
        <f>('P1'!D4)</f>
        <v>palavra-chave 1, palavra-chave 2, palavra-chave 3 </v>
      </c>
      <c r="I4" s="6">
        <f>IF('P1'!E4="Sim", 1, 0)</f>
        <v>0</v>
      </c>
      <c r="J4" s="6">
        <f>IF(OR('P1'!F4="Ciências Exatas e da Terra", 'P1'!G4="Ciências Exatas e da Terra"), 1, 0)</f>
        <v>0</v>
      </c>
      <c r="K4" s="6">
        <f>IF(OR('P1'!F4="Ciências Biológicas", 'P1'!G4="Ciências Biológicas"), 1, 0)</f>
        <v>0</v>
      </c>
      <c r="L4" s="6">
        <f>IF(OR('P1'!F4="Engenharias", 'P1'!G4="Engenharias"), 1, 0)</f>
        <v>0</v>
      </c>
      <c r="M4" s="6">
        <f>IF(OR('P1'!F4="Ciências da Saúde", 'P1'!G4="Ciências da Saúde"), 1, 0)</f>
        <v>0</v>
      </c>
      <c r="N4" s="6">
        <f>IF(OR('P1'!F4="Ciências Agrárias", 'P1'!G4="Ciências Agrárias"), 1, 0)</f>
        <v>0</v>
      </c>
      <c r="O4" s="6">
        <f>IF(OR('P1'!F4="Ciências Socias Aplicadas", 'P1'!G4="Ciências Socias Aplicadas"), 1, 0)</f>
        <v>0</v>
      </c>
      <c r="P4" s="6">
        <f>IF(OR('P1'!F4="Ciências Humanas", 'P1'!G4="Ciências Humanas"), 1, 0)</f>
        <v>1</v>
      </c>
      <c r="Q4" s="6">
        <f>IF(OR(OR('P1'!F4="Linguística", 'P1'!G4="Linguística"),'P1'!F4="Letras e Artes", 'P1'!G4="Letras e Artes"), 1, 0)</f>
        <v>1</v>
      </c>
      <c r="R4" s="6">
        <f>IF('P1'!N4="Sim", 1, 0)</f>
        <v>0</v>
      </c>
      <c r="S4" s="6">
        <f>IF('P1'!H4="Sim", 1, 0)</f>
        <v>1</v>
      </c>
      <c r="T4" s="6">
        <f>IFERROR(__xludf.DUMMYFUNCTION("IF(REGEXMATCH('P1'!I4, ""Ensino""), 1,0)"),1.0)</f>
        <v>1</v>
      </c>
      <c r="U4" s="6">
        <f>IFERROR(__xludf.DUMMYFUNCTION("IF(REGEXMATCH('P1'!I4, ""Pesquisa|pesquisa""), 1,0)"),1.0)</f>
        <v>1</v>
      </c>
      <c r="V4" s="6">
        <f>IFERROR(__xludf.DUMMYFUNCTION("IF(REGEXMATCH('P1'!I4, ""Extensão|extensão""), 1,0)"),1.0)</f>
        <v>1</v>
      </c>
      <c r="W4" s="6">
        <f>IF('P1'!J4="Sim", 1,IF('P1'!J4="Não",0,2))</f>
        <v>2</v>
      </c>
      <c r="X4" s="6">
        <f>IF('P1'!K4="Sim", 1,IF('P1'!K4="Não",0,2))</f>
        <v>2</v>
      </c>
      <c r="Y4" s="6">
        <f>IF('P1'!L4="Sim", 1,IF('P1'!L4="Não",0,2))</f>
        <v>2</v>
      </c>
      <c r="Z4" s="6">
        <f>IF('P1'!M4="Sim", 1,IF('P1'!M4="Não",0,2))</f>
        <v>2</v>
      </c>
      <c r="AA4" s="6">
        <v>1.0</v>
      </c>
      <c r="AB4" s="9">
        <v>997.0</v>
      </c>
      <c r="AC4" s="6">
        <v>33.0</v>
      </c>
      <c r="AD4" s="6">
        <v>3304557.0</v>
      </c>
      <c r="AE4" s="6">
        <v>12.0</v>
      </c>
      <c r="AF4" s="10">
        <v>107716.0</v>
      </c>
      <c r="AG4" s="11">
        <v>107717.0</v>
      </c>
    </row>
    <row r="5">
      <c r="A5" s="6">
        <v>10.0</v>
      </c>
      <c r="B5" s="6">
        <v>586.0</v>
      </c>
      <c r="C5" s="6">
        <v>11.0</v>
      </c>
      <c r="D5" s="7" t="str">
        <f>('P1'!A5)</f>
        <v>NOME </v>
      </c>
      <c r="E5" s="8" t="str">
        <f>('P1'!B5)</f>
        <v>COD_LAB_4</v>
      </c>
      <c r="F5" s="6">
        <v>1.0</v>
      </c>
      <c r="G5" s="7" t="str">
        <f>('P1'!C5)</f>
        <v>DESCRIÇÃO</v>
      </c>
      <c r="H5" s="8" t="str">
        <f>('P1'!D5)</f>
        <v>palavra-chave 1, palavra-chave 2, palavra-chave 3 </v>
      </c>
      <c r="I5" s="6">
        <f>IF('P1'!E5="Sim", 1, 0)</f>
        <v>0</v>
      </c>
      <c r="J5" s="6">
        <f>IF(OR('P1'!F5="Ciências Exatas e da Terra", 'P1'!G5="Ciências Exatas e da Terra"), 1, 0)</f>
        <v>0</v>
      </c>
      <c r="K5" s="6">
        <f>IF(OR('P1'!F5="Ciências Biológicas", 'P1'!G5="Ciências Biológicas"), 1, 0)</f>
        <v>0</v>
      </c>
      <c r="L5" s="6">
        <f>IF(OR('P1'!F5="Engenharias", 'P1'!G5="Engenharias"), 1, 0)</f>
        <v>0</v>
      </c>
      <c r="M5" s="6">
        <f>IF(OR('P1'!F5="Ciências da Saúde", 'P1'!G5="Ciências da Saúde"), 1, 0)</f>
        <v>0</v>
      </c>
      <c r="N5" s="6">
        <f>IF(OR('P1'!F5="Ciências Agrárias", 'P1'!G5="Ciências Agrárias"), 1, 0)</f>
        <v>0</v>
      </c>
      <c r="O5" s="6">
        <f>IF(OR('P1'!F5="Ciências Socias Aplicadas", 'P1'!G5="Ciências Socias Aplicadas"), 1, 0)</f>
        <v>1</v>
      </c>
      <c r="P5" s="6">
        <f>IF(OR('P1'!F5="Ciências Humanas", 'P1'!G5="Ciências Humanas"), 1, 0)</f>
        <v>1</v>
      </c>
      <c r="Q5" s="6">
        <f>IF(OR(OR('P1'!F5="Linguística", 'P1'!G5="Linguística"),'P1'!F5="Letras e Artes", 'P1'!G5="Letras e Artes"), 1, 0)</f>
        <v>0</v>
      </c>
      <c r="R5" s="6">
        <f>IF('P1'!N5="Sim", 1, 0)</f>
        <v>0</v>
      </c>
      <c r="S5" s="6">
        <f>IF('P1'!H5="Sim", 1, 0)</f>
        <v>1</v>
      </c>
      <c r="T5" s="6">
        <f>IFERROR(__xludf.DUMMYFUNCTION("IF(REGEXMATCH('P1'!I5, ""Ensino""), 1,0)"),1.0)</f>
        <v>1</v>
      </c>
      <c r="U5" s="6">
        <f>IFERROR(__xludf.DUMMYFUNCTION("IF(REGEXMATCH('P1'!I5, ""Pesquisa|pesquisa""), 1,0)"),1.0)</f>
        <v>1</v>
      </c>
      <c r="V5" s="6">
        <f>IFERROR(__xludf.DUMMYFUNCTION("IF(REGEXMATCH('P1'!I5, ""Extensão|extensão""), 1,0)"),1.0)</f>
        <v>1</v>
      </c>
      <c r="W5" s="6">
        <f>IF('P1'!J5="Sim", 1,IF('P1'!J5="Não",0,2))</f>
        <v>2</v>
      </c>
      <c r="X5" s="6">
        <f>IF('P1'!K5="Sim", 1,IF('P1'!K5="Não",0,2))</f>
        <v>2</v>
      </c>
      <c r="Y5" s="6">
        <f>IF('P1'!L5="Sim", 1,IF('P1'!L5="Não",0,2))</f>
        <v>2</v>
      </c>
      <c r="Z5" s="6">
        <f>IF('P1'!M5="Sim", 1,IF('P1'!M5="Não",0,2))</f>
        <v>2</v>
      </c>
      <c r="AA5" s="6">
        <v>1.0</v>
      </c>
      <c r="AB5" s="9">
        <v>997.0</v>
      </c>
      <c r="AC5" s="6">
        <v>33.0</v>
      </c>
      <c r="AD5" s="6">
        <v>3304557.0</v>
      </c>
      <c r="AE5" s="6">
        <v>12.0</v>
      </c>
      <c r="AF5" s="10">
        <v>107716.0</v>
      </c>
      <c r="AG5" s="11">
        <v>107717.0</v>
      </c>
    </row>
    <row r="6">
      <c r="A6" s="6">
        <v>10.0</v>
      </c>
      <c r="B6" s="6">
        <v>586.0</v>
      </c>
      <c r="C6" s="6">
        <v>11.0</v>
      </c>
      <c r="D6" s="7" t="str">
        <f>('P1'!A6)</f>
        <v>NOME </v>
      </c>
      <c r="E6" s="8" t="str">
        <f>('P1'!B6)</f>
        <v>COD_LAB_5</v>
      </c>
      <c r="F6" s="6">
        <v>1.0</v>
      </c>
      <c r="G6" s="7" t="str">
        <f>('P1'!C6)</f>
        <v>DESCRIÇÃO</v>
      </c>
      <c r="H6" s="8" t="str">
        <f>('P1'!D6)</f>
        <v>palavra-chave 1, palavra-chave 2, palavra-chave 3 </v>
      </c>
      <c r="I6" s="6">
        <f>IF('P1'!E6="Sim", 1, 0)</f>
        <v>0</v>
      </c>
      <c r="J6" s="6">
        <f>IF(OR('P1'!F6="Ciências Exatas e da Terra", 'P1'!G6="Ciências Exatas e da Terra"), 1, 0)</f>
        <v>0</v>
      </c>
      <c r="K6" s="6">
        <f>IF(OR('P1'!F6="Ciências Biológicas", 'P1'!G6="Ciências Biológicas"), 1, 0)</f>
        <v>0</v>
      </c>
      <c r="L6" s="6">
        <f>IF(OR('P1'!F6="Engenharias", 'P1'!G6="Engenharias"), 1, 0)</f>
        <v>0</v>
      </c>
      <c r="M6" s="6">
        <f>IF(OR('P1'!F6="Ciências da Saúde", 'P1'!G6="Ciências da Saúde"), 1, 0)</f>
        <v>0</v>
      </c>
      <c r="N6" s="6">
        <f>IF(OR('P1'!F6="Ciências Agrárias", 'P1'!G6="Ciências Agrárias"), 1, 0)</f>
        <v>0</v>
      </c>
      <c r="O6" s="6">
        <f>IF(OR('P1'!F6="Ciências Socias Aplicadas", 'P1'!G6="Ciências Socias Aplicadas"), 1, 0)</f>
        <v>0</v>
      </c>
      <c r="P6" s="6">
        <f>IF(OR('P1'!F6="Ciências Humanas", 'P1'!G6="Ciências Humanas"), 1, 0)</f>
        <v>1</v>
      </c>
      <c r="Q6" s="6">
        <f>IF(OR(OR('P1'!F6="Linguística", 'P1'!G6="Linguística"),'P1'!F6="Letras e Artes", 'P1'!G6="Letras e Artes"), 1, 0)</f>
        <v>0</v>
      </c>
      <c r="R6" s="6">
        <f>IF('P1'!N6="Sim", 1, 0)</f>
        <v>0</v>
      </c>
      <c r="S6" s="6">
        <f>IF('P1'!H6="Sim", 1, 0)</f>
        <v>1</v>
      </c>
      <c r="T6" s="6">
        <f>IFERROR(__xludf.DUMMYFUNCTION("IF(REGEXMATCH('P1'!I6, ""Ensino""), 1,0)"),1.0)</f>
        <v>1</v>
      </c>
      <c r="U6" s="6">
        <f>IFERROR(__xludf.DUMMYFUNCTION("IF(REGEXMATCH('P1'!I6, ""Pesquisa|pesquisa""), 1,0)"),1.0)</f>
        <v>1</v>
      </c>
      <c r="V6" s="6">
        <f>IFERROR(__xludf.DUMMYFUNCTION("IF(REGEXMATCH('P1'!I6, ""Extensão|extensão""), 1,0)"),1.0)</f>
        <v>1</v>
      </c>
      <c r="W6" s="6">
        <f>IF('P1'!J6="Sim", 1,IF('P1'!J6="Não",0,2))</f>
        <v>2</v>
      </c>
      <c r="X6" s="6">
        <f>IF('P1'!K6="Sim", 1,IF('P1'!K6="Não",0,2))</f>
        <v>2</v>
      </c>
      <c r="Y6" s="6">
        <f>IF('P1'!L6="Sim", 1,IF('P1'!L6="Não",0,2))</f>
        <v>2</v>
      </c>
      <c r="Z6" s="6">
        <f>IF('P1'!M6="Sim", 1,IF('P1'!M6="Não",0,2))</f>
        <v>2</v>
      </c>
      <c r="AA6" s="6">
        <v>1.0</v>
      </c>
      <c r="AB6" s="9">
        <v>997.0</v>
      </c>
      <c r="AC6" s="6">
        <v>33.0</v>
      </c>
      <c r="AD6" s="6">
        <v>3304557.0</v>
      </c>
      <c r="AE6" s="6">
        <v>12.0</v>
      </c>
      <c r="AF6" s="10">
        <v>107716.0</v>
      </c>
      <c r="AG6" s="11">
        <v>107717.0</v>
      </c>
    </row>
    <row r="7">
      <c r="A7" s="6">
        <v>10.0</v>
      </c>
      <c r="B7" s="6">
        <v>586.0</v>
      </c>
      <c r="C7" s="6">
        <v>11.0</v>
      </c>
      <c r="D7" s="7" t="str">
        <f>('P1'!A7)</f>
        <v>NOME </v>
      </c>
      <c r="E7" s="8" t="str">
        <f>('P1'!B7)</f>
        <v>COD_LAB_6</v>
      </c>
      <c r="F7" s="6">
        <v>1.0</v>
      </c>
      <c r="G7" s="7" t="str">
        <f>('P1'!C7)</f>
        <v>DESCRIÇÃO</v>
      </c>
      <c r="H7" s="8" t="str">
        <f>('P1'!D7)</f>
        <v>palavra-chave 1, palavra-chave 2, palavra-chave 3 </v>
      </c>
      <c r="I7" s="6">
        <f>IF('P1'!E7="Sim", 1, 0)</f>
        <v>0</v>
      </c>
      <c r="J7" s="6">
        <f>IF(OR('P1'!F7="Ciências Exatas e da Terra", 'P1'!G7="Ciências Exatas e da Terra"), 1, 0)</f>
        <v>0</v>
      </c>
      <c r="K7" s="6">
        <f>IF(OR('P1'!F7="Ciências Biológicas", 'P1'!G7="Ciências Biológicas"), 1, 0)</f>
        <v>0</v>
      </c>
      <c r="L7" s="6">
        <f>IF(OR('P1'!F7="Engenharias", 'P1'!G7="Engenharias"), 1, 0)</f>
        <v>0</v>
      </c>
      <c r="M7" s="6">
        <f>IF(OR('P1'!F7="Ciências da Saúde", 'P1'!G7="Ciências da Saúde"), 1, 0)</f>
        <v>0</v>
      </c>
      <c r="N7" s="6">
        <f>IF(OR('P1'!F7="Ciências Agrárias", 'P1'!G7="Ciências Agrárias"), 1, 0)</f>
        <v>0</v>
      </c>
      <c r="O7" s="6">
        <f>IF(OR('P1'!F7="Ciências Socias Aplicadas", 'P1'!G7="Ciências Socias Aplicadas"), 1, 0)</f>
        <v>0</v>
      </c>
      <c r="P7" s="6">
        <f>IF(OR('P1'!F7="Ciências Humanas", 'P1'!G7="Ciências Humanas"), 1, 0)</f>
        <v>1</v>
      </c>
      <c r="Q7" s="6">
        <f>IF(OR(OR('P1'!F7="Linguística", 'P1'!G7="Linguística"),'P1'!F7="Letras e Artes", 'P1'!G7="Letras e Artes"), 1, 0)</f>
        <v>1</v>
      </c>
      <c r="R7" s="6">
        <f>IF('P1'!N7="Sim", 1, 0)</f>
        <v>0</v>
      </c>
      <c r="S7" s="6">
        <f>IF('P1'!H7="Sim", 1, 0)</f>
        <v>1</v>
      </c>
      <c r="T7" s="6">
        <f>IFERROR(__xludf.DUMMYFUNCTION("IF(REGEXMATCH('P1'!I7, ""Ensino""), 1,0)"),1.0)</f>
        <v>1</v>
      </c>
      <c r="U7" s="6">
        <f>IFERROR(__xludf.DUMMYFUNCTION("IF(REGEXMATCH('P1'!I7, ""Pesquisa|pesquisa""), 1,0)"),1.0)</f>
        <v>1</v>
      </c>
      <c r="V7" s="6">
        <f>IFERROR(__xludf.DUMMYFUNCTION("IF(REGEXMATCH('P1'!I7, ""Extensão|extensão""), 1,0)"),1.0)</f>
        <v>1</v>
      </c>
      <c r="W7" s="6">
        <f>IF('P1'!J7="Sim", 1,IF('P1'!J7="Não",0,2))</f>
        <v>2</v>
      </c>
      <c r="X7" s="6">
        <f>IF('P1'!K7="Sim", 1,IF('P1'!K7="Não",0,2))</f>
        <v>2</v>
      </c>
      <c r="Y7" s="6">
        <f>IF('P1'!L7="Sim", 1,IF('P1'!L7="Não",0,2))</f>
        <v>2</v>
      </c>
      <c r="Z7" s="6">
        <f>IF('P1'!M7="Sim", 1,IF('P1'!M7="Não",0,2))</f>
        <v>2</v>
      </c>
      <c r="AA7" s="6">
        <v>1.0</v>
      </c>
      <c r="AB7" s="9">
        <v>997.0</v>
      </c>
      <c r="AC7" s="6">
        <v>33.0</v>
      </c>
      <c r="AD7" s="6">
        <v>3304557.0</v>
      </c>
      <c r="AE7" s="6">
        <v>12.0</v>
      </c>
      <c r="AF7" s="10">
        <v>107716.0</v>
      </c>
      <c r="AG7" s="11">
        <v>107717.0</v>
      </c>
    </row>
    <row r="8">
      <c r="A8" s="6">
        <v>10.0</v>
      </c>
      <c r="B8" s="6">
        <v>586.0</v>
      </c>
      <c r="C8" s="6">
        <v>11.0</v>
      </c>
      <c r="D8" s="7" t="str">
        <f>('P1'!A8)</f>
        <v>NOME </v>
      </c>
      <c r="E8" s="8" t="str">
        <f>('P1'!B8)</f>
        <v>COD_LAB_7</v>
      </c>
      <c r="F8" s="6">
        <v>1.0</v>
      </c>
      <c r="G8" s="7" t="str">
        <f>('P1'!C8)</f>
        <v>DESCRIÇÃO</v>
      </c>
      <c r="H8" s="8" t="str">
        <f>('P1'!D8)</f>
        <v>palavra-chave 1, palavra-chave 2, palavra-chave 3 </v>
      </c>
      <c r="I8" s="6">
        <f>IF('P1'!E8="Sim", 1, 0)</f>
        <v>0</v>
      </c>
      <c r="J8" s="6">
        <f>IF(OR('P1'!F8="Ciências Exatas e da Terra", 'P1'!G8="Ciências Exatas e da Terra"), 1, 0)</f>
        <v>0</v>
      </c>
      <c r="K8" s="6">
        <f>IF(OR('P1'!F8="Ciências Biológicas", 'P1'!G8="Ciências Biológicas"), 1, 0)</f>
        <v>0</v>
      </c>
      <c r="L8" s="6">
        <f>IF(OR('P1'!F8="Engenharias", 'P1'!G8="Engenharias"), 1, 0)</f>
        <v>0</v>
      </c>
      <c r="M8" s="6">
        <f>IF(OR('P1'!F8="Ciências da Saúde", 'P1'!G8="Ciências da Saúde"), 1, 0)</f>
        <v>0</v>
      </c>
      <c r="N8" s="6">
        <f>IF(OR('P1'!F8="Ciências Agrárias", 'P1'!G8="Ciências Agrárias"), 1, 0)</f>
        <v>0</v>
      </c>
      <c r="O8" s="6">
        <f>IF(OR('P1'!F8="Ciências Socias Aplicadas", 'P1'!G8="Ciências Socias Aplicadas"), 1, 0)</f>
        <v>1</v>
      </c>
      <c r="P8" s="6">
        <f>IF(OR('P1'!F8="Ciências Humanas", 'P1'!G8="Ciências Humanas"), 1, 0)</f>
        <v>1</v>
      </c>
      <c r="Q8" s="6">
        <f>IF(OR(OR('P1'!F8="Linguística", 'P1'!G8="Linguística"),'P1'!F8="Letras e Artes", 'P1'!G8="Letras e Artes"), 1, 0)</f>
        <v>0</v>
      </c>
      <c r="R8" s="6">
        <f>IF('P1'!N8="Sim", 1, 0)</f>
        <v>0</v>
      </c>
      <c r="S8" s="6">
        <f>IF('P1'!H8="Sim", 1, 0)</f>
        <v>1</v>
      </c>
      <c r="T8" s="6">
        <f>IFERROR(__xludf.DUMMYFUNCTION("IF(REGEXMATCH('P1'!I8, ""Ensino""), 1,0)"),1.0)</f>
        <v>1</v>
      </c>
      <c r="U8" s="6">
        <f>IFERROR(__xludf.DUMMYFUNCTION("IF(REGEXMATCH('P1'!I8, ""Pesquisa|pesquisa""), 1,0)"),1.0)</f>
        <v>1</v>
      </c>
      <c r="V8" s="6">
        <f>IFERROR(__xludf.DUMMYFUNCTION("IF(REGEXMATCH('P1'!I8, ""Extensão|extensão""), 1,0)"),1.0)</f>
        <v>1</v>
      </c>
      <c r="W8" s="6">
        <f>IF('P1'!J8="Sim", 1,IF('P1'!J8="Não",0,2))</f>
        <v>0</v>
      </c>
      <c r="X8" s="6">
        <f>IF('P1'!K8="Sim", 1,IF('P1'!K8="Não",0,2))</f>
        <v>0</v>
      </c>
      <c r="Y8" s="6">
        <f>IF('P1'!L8="Sim", 1,IF('P1'!L8="Não",0,2))</f>
        <v>0</v>
      </c>
      <c r="Z8" s="6">
        <f>IF('P1'!M8="Sim", 1,IF('P1'!M8="Não",0,2))</f>
        <v>0</v>
      </c>
      <c r="AA8" s="6">
        <v>1.0</v>
      </c>
      <c r="AB8" s="9">
        <v>997.0</v>
      </c>
      <c r="AC8" s="6">
        <v>33.0</v>
      </c>
      <c r="AD8" s="6">
        <v>3304557.0</v>
      </c>
      <c r="AE8" s="6">
        <v>12.0</v>
      </c>
      <c r="AF8" s="10">
        <v>107716.0</v>
      </c>
      <c r="AG8" s="11">
        <v>107717.0</v>
      </c>
    </row>
    <row r="9">
      <c r="A9" s="6">
        <v>10.0</v>
      </c>
      <c r="B9" s="6">
        <v>586.0</v>
      </c>
      <c r="C9" s="6">
        <v>11.0</v>
      </c>
      <c r="D9" s="7" t="str">
        <f>('P1'!A9)</f>
        <v>NOME </v>
      </c>
      <c r="E9" s="8" t="str">
        <f>('P1'!B9)</f>
        <v>COD_LAB_8</v>
      </c>
      <c r="F9" s="6">
        <v>1.0</v>
      </c>
      <c r="G9" s="7" t="str">
        <f>('P1'!C9)</f>
        <v>DESCRIÇÃO</v>
      </c>
      <c r="H9" s="8" t="str">
        <f>('P1'!D9)</f>
        <v>palavra-chave 1, palavra-chave 2, palavra-chave 3 </v>
      </c>
      <c r="I9" s="6">
        <f>IF('P1'!E9="Sim", 1, 0)</f>
        <v>0</v>
      </c>
      <c r="J9" s="6">
        <f>IF(OR('P1'!F9="Ciências Exatas e da Terra", 'P1'!G9="Ciências Exatas e da Terra"), 1, 0)</f>
        <v>0</v>
      </c>
      <c r="K9" s="6">
        <f>IF(OR('P1'!F9="Ciências Biológicas", 'P1'!G9="Ciências Biológicas"), 1, 0)</f>
        <v>0</v>
      </c>
      <c r="L9" s="6">
        <f>IF(OR('P1'!F9="Engenharias", 'P1'!G9="Engenharias"), 1, 0)</f>
        <v>0</v>
      </c>
      <c r="M9" s="6">
        <f>IF(OR('P1'!F9="Ciências da Saúde", 'P1'!G9="Ciências da Saúde"), 1, 0)</f>
        <v>0</v>
      </c>
      <c r="N9" s="6">
        <f>IF(OR('P1'!F9="Ciências Agrárias", 'P1'!G9="Ciências Agrárias"), 1, 0)</f>
        <v>0</v>
      </c>
      <c r="O9" s="6">
        <f>IF(OR('P1'!F9="Ciências Socias Aplicadas", 'P1'!G9="Ciências Socias Aplicadas"), 1, 0)</f>
        <v>0</v>
      </c>
      <c r="P9" s="6">
        <f>IF(OR('P1'!F9="Ciências Humanas", 'P1'!G9="Ciências Humanas"), 1, 0)</f>
        <v>1</v>
      </c>
      <c r="Q9" s="6">
        <f>IF(OR(OR('P1'!F9="Linguística", 'P1'!G9="Linguística"),'P1'!F9="Letras e Artes", 'P1'!G9="Letras e Artes"), 1, 0)</f>
        <v>0</v>
      </c>
      <c r="R9" s="6">
        <f>IF('P1'!N9="Sim", 1, 0)</f>
        <v>0</v>
      </c>
      <c r="S9" s="6">
        <f>IF('P1'!H9="Sim", 1, 0)</f>
        <v>1</v>
      </c>
      <c r="T9" s="6">
        <f>IFERROR(__xludf.DUMMYFUNCTION("IF(REGEXMATCH('P1'!I9, ""Ensino""), 1,0)"),1.0)</f>
        <v>1</v>
      </c>
      <c r="U9" s="6">
        <f>IFERROR(__xludf.DUMMYFUNCTION("IF(REGEXMATCH('P1'!I9, ""Pesquisa|pesquisa""), 1,0)"),1.0)</f>
        <v>1</v>
      </c>
      <c r="V9" s="6">
        <f>IFERROR(__xludf.DUMMYFUNCTION("IF(REGEXMATCH('P1'!I9, ""Extensão|extensão""), 1,0)"),1.0)</f>
        <v>1</v>
      </c>
      <c r="W9" s="6">
        <f>IF('P1'!J9="Sim", 1,IF('P1'!J9="Não",0,2))</f>
        <v>2</v>
      </c>
      <c r="X9" s="6">
        <f>IF('P1'!K9="Sim", 1,IF('P1'!K9="Não",0,2))</f>
        <v>2</v>
      </c>
      <c r="Y9" s="6">
        <f>IF('P1'!L9="Sim", 1,IF('P1'!L9="Não",0,2))</f>
        <v>2</v>
      </c>
      <c r="Z9" s="6">
        <f>IF('P1'!M9="Sim", 1,IF('P1'!M9="Não",0,2))</f>
        <v>2</v>
      </c>
      <c r="AA9" s="6">
        <v>1.0</v>
      </c>
      <c r="AB9" s="9">
        <v>997.0</v>
      </c>
      <c r="AC9" s="6">
        <v>33.0</v>
      </c>
      <c r="AD9" s="6">
        <v>3304557.0</v>
      </c>
      <c r="AE9" s="6">
        <v>12.0</v>
      </c>
      <c r="AF9" s="10">
        <v>107716.0</v>
      </c>
      <c r="AG9" s="11">
        <v>107717.0</v>
      </c>
    </row>
    <row r="10">
      <c r="A10" s="6">
        <v>10.0</v>
      </c>
      <c r="B10" s="6">
        <v>586.0</v>
      </c>
      <c r="C10" s="6">
        <v>11.0</v>
      </c>
      <c r="D10" s="7" t="str">
        <f>('P1'!A10)</f>
        <v>NOME </v>
      </c>
      <c r="E10" s="8" t="str">
        <f>('P1'!B10)</f>
        <v>COD_LAB_9</v>
      </c>
      <c r="F10" s="6">
        <v>1.0</v>
      </c>
      <c r="G10" s="7" t="str">
        <f>('P1'!C10)</f>
        <v>DESCRIÇÃO</v>
      </c>
      <c r="H10" s="8" t="str">
        <f>('P1'!D10)</f>
        <v>palavra-chave 1, palavra-chave 2, palavra-chave 3 </v>
      </c>
      <c r="I10" s="6">
        <f>IF('P1'!E10="Sim", 1, 0)</f>
        <v>0</v>
      </c>
      <c r="J10" s="6">
        <f>IF(OR('P1'!F10="Ciências Exatas e da Terra", 'P1'!G10="Ciências Exatas e da Terra"), 1, 0)</f>
        <v>0</v>
      </c>
      <c r="K10" s="6">
        <f>IF(OR('P1'!F10="Ciências Biológicas", 'P1'!G10="Ciências Biológicas"), 1, 0)</f>
        <v>0</v>
      </c>
      <c r="L10" s="6">
        <f>IF(OR('P1'!F10="Engenharias", 'P1'!G10="Engenharias"), 1, 0)</f>
        <v>0</v>
      </c>
      <c r="M10" s="6">
        <f>IF(OR('P1'!F10="Ciências da Saúde", 'P1'!G10="Ciências da Saúde"), 1, 0)</f>
        <v>0</v>
      </c>
      <c r="N10" s="6">
        <f>IF(OR('P1'!F10="Ciências Agrárias", 'P1'!G10="Ciências Agrárias"), 1, 0)</f>
        <v>0</v>
      </c>
      <c r="O10" s="6">
        <f>IF(OR('P1'!F10="Ciências Socias Aplicadas", 'P1'!G10="Ciências Socias Aplicadas"), 1, 0)</f>
        <v>0</v>
      </c>
      <c r="P10" s="6">
        <f>IF(OR('P1'!F10="Ciências Humanas", 'P1'!G10="Ciências Humanas"), 1, 0)</f>
        <v>1</v>
      </c>
      <c r="Q10" s="6">
        <f>IF(OR(OR('P1'!F10="Linguística", 'P1'!G10="Linguística"),'P1'!F10="Letras e Artes", 'P1'!G10="Letras e Artes"), 1, 0)</f>
        <v>1</v>
      </c>
      <c r="R10" s="6">
        <f>IF('P1'!N10="Sim", 1, 0)</f>
        <v>0</v>
      </c>
      <c r="S10" s="6">
        <f>IF('P1'!H10="Sim", 1, 0)</f>
        <v>1</v>
      </c>
      <c r="T10" s="6">
        <f>IFERROR(__xludf.DUMMYFUNCTION("IF(REGEXMATCH('P1'!I10, ""Ensino""), 1,0)"),1.0)</f>
        <v>1</v>
      </c>
      <c r="U10" s="6">
        <f>IFERROR(__xludf.DUMMYFUNCTION("IF(REGEXMATCH('P1'!I10, ""Pesquisa|pesquisa""), 1,0)"),1.0)</f>
        <v>1</v>
      </c>
      <c r="V10" s="6">
        <f>IFERROR(__xludf.DUMMYFUNCTION("IF(REGEXMATCH('P1'!I10, ""Extensão|extensão""), 1,0)"),1.0)</f>
        <v>1</v>
      </c>
      <c r="W10" s="6">
        <f>IF('P1'!J10="Sim", 1,IF('P1'!J10="Não",0,2))</f>
        <v>2</v>
      </c>
      <c r="X10" s="6">
        <f>IF('P1'!K10="Sim", 1,IF('P1'!K10="Não",0,2))</f>
        <v>1</v>
      </c>
      <c r="Y10" s="6">
        <f>IF('P1'!L10="Sim", 1,IF('P1'!L10="Não",0,2))</f>
        <v>2</v>
      </c>
      <c r="Z10" s="6">
        <f>IF('P1'!M10="Sim", 1,IF('P1'!M10="Não",0,2))</f>
        <v>2</v>
      </c>
      <c r="AA10" s="6">
        <v>1.0</v>
      </c>
      <c r="AB10" s="9">
        <v>997.0</v>
      </c>
      <c r="AC10" s="6">
        <v>33.0</v>
      </c>
      <c r="AD10" s="6">
        <v>3304557.0</v>
      </c>
      <c r="AE10" s="6">
        <v>12.0</v>
      </c>
      <c r="AF10" s="10">
        <v>107716.0</v>
      </c>
      <c r="AG10" s="11">
        <v>107717.0</v>
      </c>
    </row>
    <row r="11">
      <c r="A11" s="6">
        <v>10.0</v>
      </c>
      <c r="B11" s="6">
        <v>586.0</v>
      </c>
      <c r="C11" s="6">
        <v>11.0</v>
      </c>
      <c r="D11" s="7" t="str">
        <f>('P1'!A11)</f>
        <v>NOME </v>
      </c>
      <c r="E11" s="8" t="str">
        <f>('P1'!B11)</f>
        <v>COD_LAB_10</v>
      </c>
      <c r="F11" s="6">
        <v>1.0</v>
      </c>
      <c r="G11" s="7" t="str">
        <f>('P1'!C11)</f>
        <v>DESCRIÇÃO</v>
      </c>
      <c r="H11" s="8" t="str">
        <f>('P1'!D11)</f>
        <v>palavra-chave 1, palavra-chave 2, palavra-chave 3 </v>
      </c>
      <c r="I11" s="6">
        <f>IF('P1'!E11="Sim", 1, 0)</f>
        <v>0</v>
      </c>
      <c r="J11" s="6">
        <f>IF(OR('P1'!F11="Ciências Exatas e da Terra", 'P1'!G11="Ciências Exatas e da Terra"), 1, 0)</f>
        <v>0</v>
      </c>
      <c r="K11" s="6">
        <f>IF(OR('P1'!F11="Ciências Biológicas", 'P1'!G11="Ciências Biológicas"), 1, 0)</f>
        <v>0</v>
      </c>
      <c r="L11" s="6">
        <f>IF(OR('P1'!F11="Engenharias", 'P1'!G11="Engenharias"), 1, 0)</f>
        <v>0</v>
      </c>
      <c r="M11" s="6">
        <f>IF(OR('P1'!F11="Ciências da Saúde", 'P1'!G11="Ciências da Saúde"), 1, 0)</f>
        <v>0</v>
      </c>
      <c r="N11" s="6">
        <f>IF(OR('P1'!F11="Ciências Agrárias", 'P1'!G11="Ciências Agrárias"), 1, 0)</f>
        <v>0</v>
      </c>
      <c r="O11" s="6">
        <f>IF(OR('P1'!F11="Ciências Socias Aplicadas", 'P1'!G11="Ciências Socias Aplicadas"), 1, 0)</f>
        <v>1</v>
      </c>
      <c r="P11" s="6">
        <f>IF(OR('P1'!F11="Ciências Humanas", 'P1'!G11="Ciências Humanas"), 1, 0)</f>
        <v>1</v>
      </c>
      <c r="Q11" s="6">
        <f>IF(OR(OR('P1'!F11="Linguística", 'P1'!G11="Linguística"),'P1'!F11="Letras e Artes", 'P1'!G11="Letras e Artes"), 1, 0)</f>
        <v>0</v>
      </c>
      <c r="R11" s="6">
        <f>IF('P1'!N11="Sim", 1, 0)</f>
        <v>0</v>
      </c>
      <c r="S11" s="6">
        <f>IF('P1'!H11="Sim", 1, 0)</f>
        <v>1</v>
      </c>
      <c r="T11" s="6">
        <f>IFERROR(__xludf.DUMMYFUNCTION("IF(REGEXMATCH('P1'!I11, ""Ensino""), 1,0)"),1.0)</f>
        <v>1</v>
      </c>
      <c r="U11" s="6">
        <f>IFERROR(__xludf.DUMMYFUNCTION("IF(REGEXMATCH('P1'!I11, ""Pesquisa|pesquisa""), 1,0)"),1.0)</f>
        <v>1</v>
      </c>
      <c r="V11" s="6">
        <f>IFERROR(__xludf.DUMMYFUNCTION("IF(REGEXMATCH('P1'!I11, ""Extensão|extensão""), 1,0)"),1.0)</f>
        <v>1</v>
      </c>
      <c r="W11" s="6">
        <f>IF('P1'!J11="Sim", 1,IF('P1'!J11="Não",0,2))</f>
        <v>2</v>
      </c>
      <c r="X11" s="6">
        <f>IF('P1'!K11="Sim", 1,IF('P1'!K11="Não",0,2))</f>
        <v>2</v>
      </c>
      <c r="Y11" s="6">
        <f>IF('P1'!L11="Sim", 1,IF('P1'!L11="Não",0,2))</f>
        <v>2</v>
      </c>
      <c r="Z11" s="6">
        <f>IF('P1'!M11="Sim", 1,IF('P1'!M11="Não",0,2))</f>
        <v>2</v>
      </c>
      <c r="AA11" s="6">
        <v>1.0</v>
      </c>
      <c r="AB11" s="9">
        <v>997.0</v>
      </c>
      <c r="AC11" s="6">
        <v>33.0</v>
      </c>
      <c r="AD11" s="6">
        <v>3304557.0</v>
      </c>
      <c r="AE11" s="6">
        <v>12.0</v>
      </c>
      <c r="AF11" s="10">
        <v>107716.0</v>
      </c>
      <c r="AG11" s="11">
        <v>107717.0</v>
      </c>
    </row>
    <row r="12">
      <c r="A12" s="6">
        <v>10.0</v>
      </c>
      <c r="B12" s="6">
        <v>586.0</v>
      </c>
      <c r="C12" s="6">
        <v>11.0</v>
      </c>
      <c r="D12" s="7" t="str">
        <f>('P1'!A12)</f>
        <v>NOME </v>
      </c>
      <c r="E12" s="8" t="str">
        <f>('P1'!B12)</f>
        <v>COD_LAB_11</v>
      </c>
      <c r="F12" s="6">
        <v>1.0</v>
      </c>
      <c r="G12" s="7" t="str">
        <f>('P1'!C12)</f>
        <v>DESCRIÇÃO</v>
      </c>
      <c r="H12" s="8" t="str">
        <f>('P1'!D12)</f>
        <v>palavra-chave 1, palavra-chave 2, palavra-chave 3 </v>
      </c>
      <c r="I12" s="6">
        <f>IF('P1'!E12="Sim", 1, 0)</f>
        <v>0</v>
      </c>
      <c r="J12" s="6">
        <f>IF(OR('P1'!F12="Ciências Exatas e da Terra", 'P1'!G12="Ciências Exatas e da Terra"), 1, 0)</f>
        <v>0</v>
      </c>
      <c r="K12" s="6">
        <f>IF(OR('P1'!F12="Ciências Biológicas", 'P1'!G12="Ciências Biológicas"), 1, 0)</f>
        <v>0</v>
      </c>
      <c r="L12" s="6">
        <f>IF(OR('P1'!F12="Engenharias", 'P1'!G12="Engenharias"), 1, 0)</f>
        <v>0</v>
      </c>
      <c r="M12" s="6">
        <f>IF(OR('P1'!F12="Ciências da Saúde", 'P1'!G12="Ciências da Saúde"), 1, 0)</f>
        <v>0</v>
      </c>
      <c r="N12" s="6">
        <f>IF(OR('P1'!F12="Ciências Agrárias", 'P1'!G12="Ciências Agrárias"), 1, 0)</f>
        <v>0</v>
      </c>
      <c r="O12" s="6">
        <f>IF(OR('P1'!F12="Ciências Socias Aplicadas", 'P1'!G12="Ciências Socias Aplicadas"), 1, 0)</f>
        <v>0</v>
      </c>
      <c r="P12" s="6">
        <f>IF(OR('P1'!F12="Ciências Humanas", 'P1'!G12="Ciências Humanas"), 1, 0)</f>
        <v>1</v>
      </c>
      <c r="Q12" s="6">
        <f>IF(OR(OR('P1'!F12="Linguística", 'P1'!G12="Linguística"),'P1'!F12="Letras e Artes", 'P1'!G12="Letras e Artes"), 1, 0)</f>
        <v>1</v>
      </c>
      <c r="R12" s="6">
        <f>IF('P1'!N12="Sim", 1, 0)</f>
        <v>0</v>
      </c>
      <c r="S12" s="6">
        <f>IF('P1'!H12="Sim", 1, 0)</f>
        <v>1</v>
      </c>
      <c r="T12" s="6">
        <f>IFERROR(__xludf.DUMMYFUNCTION("IF(REGEXMATCH('P1'!I12, ""Ensino""), 1,0)"),1.0)</f>
        <v>1</v>
      </c>
      <c r="U12" s="6">
        <f>IFERROR(__xludf.DUMMYFUNCTION("IF(REGEXMATCH('P1'!I12, ""Pesquisa|pesquisa""), 1,0)"),1.0)</f>
        <v>1</v>
      </c>
      <c r="V12" s="6">
        <f>IFERROR(__xludf.DUMMYFUNCTION("IF(REGEXMATCH('P1'!I12, ""Extensão|extensão""), 1,0)"),1.0)</f>
        <v>1</v>
      </c>
      <c r="W12" s="6">
        <f>IF('P1'!J12="Sim", 1,IF('P1'!J12="Não",0,2))</f>
        <v>2</v>
      </c>
      <c r="X12" s="6">
        <f>IF('P1'!K12="Sim", 1,IF('P1'!K12="Não",0,2))</f>
        <v>2</v>
      </c>
      <c r="Y12" s="6">
        <f>IF('P1'!L12="Sim", 1,IF('P1'!L12="Não",0,2))</f>
        <v>2</v>
      </c>
      <c r="Z12" s="6">
        <f>IF('P1'!M12="Sim", 1,IF('P1'!M12="Não",0,2))</f>
        <v>2</v>
      </c>
      <c r="AA12" s="6">
        <v>1.0</v>
      </c>
      <c r="AB12" s="9">
        <v>997.0</v>
      </c>
      <c r="AC12" s="6">
        <v>33.0</v>
      </c>
      <c r="AD12" s="6">
        <v>3304557.0</v>
      </c>
      <c r="AE12" s="6">
        <v>12.0</v>
      </c>
      <c r="AF12" s="10">
        <v>107716.0</v>
      </c>
      <c r="AG12" s="11">
        <v>107717.0</v>
      </c>
    </row>
    <row r="13">
      <c r="A13" s="6">
        <v>10.0</v>
      </c>
      <c r="B13" s="6">
        <v>586.0</v>
      </c>
      <c r="C13" s="6">
        <v>11.0</v>
      </c>
      <c r="D13" s="7" t="str">
        <f>('P1'!A13)</f>
        <v>NOME </v>
      </c>
      <c r="E13" s="8" t="str">
        <f>('P1'!B13)</f>
        <v>COD_LAB_12</v>
      </c>
      <c r="F13" s="6">
        <v>1.0</v>
      </c>
      <c r="G13" s="7" t="str">
        <f>('P1'!C13)</f>
        <v>DESCRIÇÃO</v>
      </c>
      <c r="H13" s="8" t="str">
        <f>('P1'!D13)</f>
        <v>palavra-chave 1, palavra-chave 2, palavra-chave 3 </v>
      </c>
      <c r="I13" s="6">
        <f>IF('P1'!E13="Sim", 1, 0)</f>
        <v>0</v>
      </c>
      <c r="J13" s="6">
        <f>IF(OR('P1'!F13="Ciências Exatas e da Terra", 'P1'!G13="Ciências Exatas e da Terra"), 1, 0)</f>
        <v>0</v>
      </c>
      <c r="K13" s="6">
        <f>IF(OR('P1'!F13="Ciências Biológicas", 'P1'!G13="Ciências Biológicas"), 1, 0)</f>
        <v>0</v>
      </c>
      <c r="L13" s="6">
        <f>IF(OR('P1'!F13="Engenharias", 'P1'!G13="Engenharias"), 1, 0)</f>
        <v>0</v>
      </c>
      <c r="M13" s="6">
        <f>IF(OR('P1'!F13="Ciências da Saúde", 'P1'!G13="Ciências da Saúde"), 1, 0)</f>
        <v>0</v>
      </c>
      <c r="N13" s="6">
        <f>IF(OR('P1'!F13="Ciências Agrárias", 'P1'!G13="Ciências Agrárias"), 1, 0)</f>
        <v>0</v>
      </c>
      <c r="O13" s="6">
        <f>IF(OR('P1'!F13="Ciências Socias Aplicadas", 'P1'!G13="Ciências Socias Aplicadas"), 1, 0)</f>
        <v>0</v>
      </c>
      <c r="P13" s="6">
        <f>IF(OR('P1'!F13="Ciências Humanas", 'P1'!G13="Ciências Humanas"), 1, 0)</f>
        <v>1</v>
      </c>
      <c r="Q13" s="6">
        <f>IF(OR(OR('P1'!F13="Linguística", 'P1'!G13="Linguística"),'P1'!F13="Letras e Artes", 'P1'!G13="Letras e Artes"), 1, 0)</f>
        <v>1</v>
      </c>
      <c r="R13" s="6">
        <f>IF('P1'!N13="Sim", 1, 0)</f>
        <v>0</v>
      </c>
      <c r="S13" s="6">
        <f>IF('P1'!H13="Sim", 1, 0)</f>
        <v>1</v>
      </c>
      <c r="T13" s="6">
        <f>IFERROR(__xludf.DUMMYFUNCTION("IF(REGEXMATCH('P1'!I13, ""Ensino""), 1,0)"),1.0)</f>
        <v>1</v>
      </c>
      <c r="U13" s="6">
        <f>IFERROR(__xludf.DUMMYFUNCTION("IF(REGEXMATCH('P1'!I13, ""Pesquisa|pesquisa""), 1,0)"),1.0)</f>
        <v>1</v>
      </c>
      <c r="V13" s="6">
        <f>IFERROR(__xludf.DUMMYFUNCTION("IF(REGEXMATCH('P1'!I13, ""Extensão|extensão""), 1,0)"),1.0)</f>
        <v>1</v>
      </c>
      <c r="W13" s="6">
        <f>IF('P1'!J13="Sim", 1,IF('P1'!J13="Não",0,2))</f>
        <v>2</v>
      </c>
      <c r="X13" s="6">
        <f>IF('P1'!K13="Sim", 1,IF('P1'!K13="Não",0,2))</f>
        <v>2</v>
      </c>
      <c r="Y13" s="6">
        <f>IF('P1'!L13="Sim", 1,IF('P1'!L13="Não",0,2))</f>
        <v>2</v>
      </c>
      <c r="Z13" s="6">
        <f>IF('P1'!M13="Sim", 1,IF('P1'!M13="Não",0,2))</f>
        <v>2</v>
      </c>
      <c r="AA13" s="6">
        <v>1.0</v>
      </c>
      <c r="AB13" s="9">
        <v>997.0</v>
      </c>
      <c r="AC13" s="6">
        <v>33.0</v>
      </c>
      <c r="AD13" s="6">
        <v>3304557.0</v>
      </c>
      <c r="AE13" s="6">
        <v>12.0</v>
      </c>
      <c r="AF13" s="10">
        <v>107716.0</v>
      </c>
      <c r="AG13" s="11">
        <v>107717.0</v>
      </c>
    </row>
    <row r="14">
      <c r="A14" s="6">
        <v>10.0</v>
      </c>
      <c r="B14" s="6">
        <v>586.0</v>
      </c>
      <c r="C14" s="6">
        <v>11.0</v>
      </c>
      <c r="D14" s="7" t="str">
        <f>('P1'!A14)</f>
        <v>NOME </v>
      </c>
      <c r="E14" s="8" t="str">
        <f>('P1'!B14)</f>
        <v>COD_LAB_13</v>
      </c>
      <c r="F14" s="6">
        <v>1.0</v>
      </c>
      <c r="G14" s="7" t="str">
        <f>('P1'!C14)</f>
        <v>DESCRIÇÃO</v>
      </c>
      <c r="H14" s="8" t="str">
        <f>('P1'!D14)</f>
        <v>palavra-chave 1, palavra-chave 2, palavra-chave 3 </v>
      </c>
      <c r="I14" s="6">
        <f>IF('P1'!E14="Sim", 1, 0)</f>
        <v>0</v>
      </c>
      <c r="J14" s="6">
        <f>IF(OR('P1'!F14="Ciências Exatas e da Terra", 'P1'!G14="Ciências Exatas e da Terra"), 1, 0)</f>
        <v>0</v>
      </c>
      <c r="K14" s="6">
        <f>IF(OR('P1'!F14="Ciências Biológicas", 'P1'!G14="Ciências Biológicas"), 1, 0)</f>
        <v>0</v>
      </c>
      <c r="L14" s="6">
        <f>IF(OR('P1'!F14="Engenharias", 'P1'!G14="Engenharias"), 1, 0)</f>
        <v>0</v>
      </c>
      <c r="M14" s="6">
        <f>IF(OR('P1'!F14="Ciências da Saúde", 'P1'!G14="Ciências da Saúde"), 1, 0)</f>
        <v>0</v>
      </c>
      <c r="N14" s="6">
        <f>IF(OR('P1'!F14="Ciências Agrárias", 'P1'!G14="Ciências Agrárias"), 1, 0)</f>
        <v>0</v>
      </c>
      <c r="O14" s="6">
        <f>IF(OR('P1'!F14="Ciências Socias Aplicadas", 'P1'!G14="Ciências Socias Aplicadas"), 1, 0)</f>
        <v>0</v>
      </c>
      <c r="P14" s="6">
        <f>IF(OR('P1'!F14="Ciências Humanas", 'P1'!G14="Ciências Humanas"), 1, 0)</f>
        <v>1</v>
      </c>
      <c r="Q14" s="6">
        <f>IF(OR(OR('P1'!F14="Linguística", 'P1'!G14="Linguística"),'P1'!F14="Letras e Artes", 'P1'!G14="Letras e Artes"), 1, 0)</f>
        <v>1</v>
      </c>
      <c r="R14" s="6">
        <f>IF('P1'!N14="Sim", 1, 0)</f>
        <v>0</v>
      </c>
      <c r="S14" s="6">
        <f>IF('P1'!H14="Sim", 1, 0)</f>
        <v>1</v>
      </c>
      <c r="T14" s="6">
        <f>IFERROR(__xludf.DUMMYFUNCTION("IF(REGEXMATCH('P1'!I14, ""Ensino""), 1,0)"),1.0)</f>
        <v>1</v>
      </c>
      <c r="U14" s="6">
        <f>IFERROR(__xludf.DUMMYFUNCTION("IF(REGEXMATCH('P1'!I14, ""Pesquisa|pesquisa""), 1,0)"),1.0)</f>
        <v>1</v>
      </c>
      <c r="V14" s="6">
        <f>IFERROR(__xludf.DUMMYFUNCTION("IF(REGEXMATCH('P1'!I14, ""Extensão|extensão""), 1,0)"),1.0)</f>
        <v>1</v>
      </c>
      <c r="W14" s="6">
        <f>IF('P1'!J14="Sim", 1,IF('P1'!J14="Não",0,2))</f>
        <v>2</v>
      </c>
      <c r="X14" s="6">
        <f>IF('P1'!K14="Sim", 1,IF('P1'!K14="Não",0,2))</f>
        <v>2</v>
      </c>
      <c r="Y14" s="6">
        <f>IF('P1'!L14="Sim", 1,IF('P1'!L14="Não",0,2))</f>
        <v>2</v>
      </c>
      <c r="Z14" s="6">
        <f>IF('P1'!M14="Sim", 1,IF('P1'!M14="Não",0,2))</f>
        <v>2</v>
      </c>
      <c r="AA14" s="6">
        <v>1.0</v>
      </c>
      <c r="AB14" s="9">
        <v>997.0</v>
      </c>
      <c r="AC14" s="6">
        <v>33.0</v>
      </c>
      <c r="AD14" s="6">
        <v>3304557.0</v>
      </c>
      <c r="AE14" s="6">
        <v>12.0</v>
      </c>
      <c r="AF14" s="10">
        <v>107716.0</v>
      </c>
      <c r="AG14" s="11">
        <v>107717.0</v>
      </c>
    </row>
    <row r="15">
      <c r="A15" s="6">
        <v>10.0</v>
      </c>
      <c r="B15" s="6">
        <v>586.0</v>
      </c>
      <c r="C15" s="6">
        <v>11.0</v>
      </c>
      <c r="D15" s="7" t="str">
        <f>('P1'!A15)</f>
        <v>NOME </v>
      </c>
      <c r="E15" s="8" t="str">
        <f>('P1'!B15)</f>
        <v>COD_LAB_14</v>
      </c>
      <c r="F15" s="6">
        <v>1.0</v>
      </c>
      <c r="G15" s="7" t="str">
        <f>('P1'!C15)</f>
        <v>DESCRIÇÃO</v>
      </c>
      <c r="H15" s="8" t="str">
        <f>('P1'!D15)</f>
        <v>palavra-chave 1, palavra-chave 2, palavra-chave 3 </v>
      </c>
      <c r="I15" s="6">
        <f>IF('P1'!E15="Sim", 1, 0)</f>
        <v>0</v>
      </c>
      <c r="J15" s="6">
        <f>IF(OR('P1'!F15="Ciências Exatas e da Terra", 'P1'!G15="Ciências Exatas e da Terra"), 1, 0)</f>
        <v>0</v>
      </c>
      <c r="K15" s="6">
        <f>IF(OR('P1'!F15="Ciências Biológicas", 'P1'!G15="Ciências Biológicas"), 1, 0)</f>
        <v>0</v>
      </c>
      <c r="L15" s="6">
        <f>IF(OR('P1'!F15="Engenharias", 'P1'!G15="Engenharias"), 1, 0)</f>
        <v>0</v>
      </c>
      <c r="M15" s="6">
        <f>IF(OR('P1'!F15="Ciências da Saúde", 'P1'!G15="Ciências da Saúde"), 1, 0)</f>
        <v>0</v>
      </c>
      <c r="N15" s="6">
        <f>IF(OR('P1'!F15="Ciências Agrárias", 'P1'!G15="Ciências Agrárias"), 1, 0)</f>
        <v>0</v>
      </c>
      <c r="O15" s="6">
        <f>IF(OR('P1'!F15="Ciências Socias Aplicadas", 'P1'!G15="Ciências Socias Aplicadas"), 1, 0)</f>
        <v>0</v>
      </c>
      <c r="P15" s="6">
        <f>IF(OR('P1'!F15="Ciências Humanas", 'P1'!G15="Ciências Humanas"), 1, 0)</f>
        <v>1</v>
      </c>
      <c r="Q15" s="6">
        <f>IF(OR(OR('P1'!F15="Linguística", 'P1'!G15="Linguística"),'P1'!F15="Letras e Artes", 'P1'!G15="Letras e Artes"), 1, 0)</f>
        <v>0</v>
      </c>
      <c r="R15" s="6">
        <f>IF('P1'!N15="Sim", 1, 0)</f>
        <v>0</v>
      </c>
      <c r="S15" s="6">
        <f>IF('P1'!H15="Sim", 1, 0)</f>
        <v>1</v>
      </c>
      <c r="T15" s="6">
        <f>IFERROR(__xludf.DUMMYFUNCTION("IF(REGEXMATCH('P1'!I15, ""Ensino""), 1,0)"),1.0)</f>
        <v>1</v>
      </c>
      <c r="U15" s="6">
        <f>IFERROR(__xludf.DUMMYFUNCTION("IF(REGEXMATCH('P1'!I15, ""Pesquisa|pesquisa""), 1,0)"),1.0)</f>
        <v>1</v>
      </c>
      <c r="V15" s="6">
        <f>IFERROR(__xludf.DUMMYFUNCTION("IF(REGEXMATCH('P1'!I15, ""Extensão|extensão""), 1,0)"),1.0)</f>
        <v>1</v>
      </c>
      <c r="W15" s="6">
        <f>IF('P1'!J15="Sim", 1,IF('P1'!J15="Não",0,2))</f>
        <v>2</v>
      </c>
      <c r="X15" s="6">
        <f>IF('P1'!K15="Sim", 1,IF('P1'!K15="Não",0,2))</f>
        <v>2</v>
      </c>
      <c r="Y15" s="6">
        <f>IF('P1'!L15="Sim", 1,IF('P1'!L15="Não",0,2))</f>
        <v>2</v>
      </c>
      <c r="Z15" s="6">
        <f>IF('P1'!M15="Sim", 1,IF('P1'!M15="Não",0,2))</f>
        <v>2</v>
      </c>
      <c r="AA15" s="6">
        <v>1.0</v>
      </c>
      <c r="AB15" s="9">
        <v>997.0</v>
      </c>
      <c r="AC15" s="6">
        <v>33.0</v>
      </c>
      <c r="AD15" s="6">
        <v>3304557.0</v>
      </c>
      <c r="AE15" s="6">
        <v>12.0</v>
      </c>
      <c r="AF15" s="10">
        <v>107716.0</v>
      </c>
      <c r="AG15" s="11">
        <v>107717.0</v>
      </c>
    </row>
    <row r="16">
      <c r="A16" s="6">
        <v>10.0</v>
      </c>
      <c r="B16" s="6">
        <v>586.0</v>
      </c>
      <c r="C16" s="6">
        <v>11.0</v>
      </c>
      <c r="D16" s="7" t="str">
        <f>('P1'!A16)</f>
        <v>NOME </v>
      </c>
      <c r="E16" s="8" t="str">
        <f>('P1'!B16)</f>
        <v>COD_LAB_15</v>
      </c>
      <c r="F16" s="6">
        <v>1.0</v>
      </c>
      <c r="G16" s="7" t="str">
        <f>('P1'!C16)</f>
        <v>DESCRIÇÃO</v>
      </c>
      <c r="H16" s="8" t="str">
        <f>('P1'!D16)</f>
        <v>palavra-chave 1, palavra-chave 2, palavra-chave 3 </v>
      </c>
      <c r="I16" s="6">
        <f>IF('P1'!E16="Sim", 1, 0)</f>
        <v>0</v>
      </c>
      <c r="J16" s="6">
        <f>IF(OR('P1'!F16="Ciências Exatas e da Terra", 'P1'!G16="Ciências Exatas e da Terra"), 1, 0)</f>
        <v>0</v>
      </c>
      <c r="K16" s="6">
        <f>IF(OR('P1'!F16="Ciências Biológicas", 'P1'!G16="Ciências Biológicas"), 1, 0)</f>
        <v>0</v>
      </c>
      <c r="L16" s="6">
        <f>IF(OR('P1'!F16="Engenharias", 'P1'!G16="Engenharias"), 1, 0)</f>
        <v>0</v>
      </c>
      <c r="M16" s="6">
        <f>IF(OR('P1'!F16="Ciências da Saúde", 'P1'!G16="Ciências da Saúde"), 1, 0)</f>
        <v>0</v>
      </c>
      <c r="N16" s="6">
        <f>IF(OR('P1'!F16="Ciências Agrárias", 'P1'!G16="Ciências Agrárias"), 1, 0)</f>
        <v>0</v>
      </c>
      <c r="O16" s="6">
        <f>IF(OR('P1'!F16="Ciências Socias Aplicadas", 'P1'!G16="Ciências Socias Aplicadas"), 1, 0)</f>
        <v>0</v>
      </c>
      <c r="P16" s="6">
        <f>IF(OR('P1'!F16="Ciências Humanas", 'P1'!G16="Ciências Humanas"), 1, 0)</f>
        <v>1</v>
      </c>
      <c r="Q16" s="6">
        <f>IF(OR(OR('P1'!F16="Linguística", 'P1'!G16="Linguística"),'P1'!F16="Letras e Artes", 'P1'!G16="Letras e Artes"), 1, 0)</f>
        <v>1</v>
      </c>
      <c r="R16" s="6">
        <f>IF('P1'!N16="Sim", 1, 0)</f>
        <v>0</v>
      </c>
      <c r="S16" s="6">
        <f>IF('P1'!H16="Sim", 1, 0)</f>
        <v>1</v>
      </c>
      <c r="T16" s="6">
        <f>IFERROR(__xludf.DUMMYFUNCTION("IF(REGEXMATCH('P1'!I16, ""Ensino""), 1,0)"),1.0)</f>
        <v>1</v>
      </c>
      <c r="U16" s="6">
        <f>IFERROR(__xludf.DUMMYFUNCTION("IF(REGEXMATCH('P1'!I16, ""Pesquisa|pesquisa""), 1,0)"),1.0)</f>
        <v>1</v>
      </c>
      <c r="V16" s="6">
        <f>IFERROR(__xludf.DUMMYFUNCTION("IF(REGEXMATCH('P1'!I16, ""Extensão|extensão""), 1,0)"),1.0)</f>
        <v>1</v>
      </c>
      <c r="W16" s="6">
        <f>IF('P1'!J16="Sim", 1,IF('P1'!J16="Não",0,2))</f>
        <v>2</v>
      </c>
      <c r="X16" s="6">
        <f>IF('P1'!K16="Sim", 1,IF('P1'!K16="Não",0,2))</f>
        <v>2</v>
      </c>
      <c r="Y16" s="6">
        <f>IF('P1'!L16="Sim", 1,IF('P1'!L16="Não",0,2))</f>
        <v>2</v>
      </c>
      <c r="Z16" s="6">
        <f>IF('P1'!M16="Sim", 1,IF('P1'!M16="Não",0,2))</f>
        <v>2</v>
      </c>
      <c r="AA16" s="6">
        <v>1.0</v>
      </c>
      <c r="AB16" s="9">
        <v>997.0</v>
      </c>
      <c r="AC16" s="6">
        <v>33.0</v>
      </c>
      <c r="AD16" s="6">
        <v>3304557.0</v>
      </c>
      <c r="AE16" s="6">
        <v>12.0</v>
      </c>
      <c r="AF16" s="10">
        <v>107716.0</v>
      </c>
      <c r="AG16" s="11">
        <v>107717.0</v>
      </c>
    </row>
    <row r="17">
      <c r="A17" s="6">
        <v>10.0</v>
      </c>
      <c r="B17" s="6">
        <v>586.0</v>
      </c>
      <c r="C17" s="6">
        <v>11.0</v>
      </c>
      <c r="D17" s="7" t="str">
        <f>('P1'!A17)</f>
        <v>NOME </v>
      </c>
      <c r="E17" s="8" t="str">
        <f>('P1'!B17)</f>
        <v>COD_LAB_16</v>
      </c>
      <c r="F17" s="6">
        <v>1.0</v>
      </c>
      <c r="G17" s="7" t="str">
        <f>('P1'!C17)</f>
        <v>DESCRIÇÃO</v>
      </c>
      <c r="H17" s="8" t="str">
        <f>('P1'!D17)</f>
        <v>palavra-chave 1, palavra-chave 2, palavra-chave 3 </v>
      </c>
      <c r="I17" s="6">
        <f>IF('P1'!E17="Sim", 1, 0)</f>
        <v>0</v>
      </c>
      <c r="J17" s="6">
        <f>IF(OR('P1'!F17="Ciências Exatas e da Terra", 'P1'!G17="Ciências Exatas e da Terra"), 1, 0)</f>
        <v>0</v>
      </c>
      <c r="K17" s="6">
        <f>IF(OR('P1'!F17="Ciências Biológicas", 'P1'!G17="Ciências Biológicas"), 1, 0)</f>
        <v>0</v>
      </c>
      <c r="L17" s="6">
        <f>IF(OR('P1'!F17="Engenharias", 'P1'!G17="Engenharias"), 1, 0)</f>
        <v>0</v>
      </c>
      <c r="M17" s="6">
        <f>IF(OR('P1'!F17="Ciências da Saúde", 'P1'!G17="Ciências da Saúde"), 1, 0)</f>
        <v>0</v>
      </c>
      <c r="N17" s="6">
        <f>IF(OR('P1'!F17="Ciências Agrárias", 'P1'!G17="Ciências Agrárias"), 1, 0)</f>
        <v>0</v>
      </c>
      <c r="O17" s="6">
        <f>IF(OR('P1'!F17="Ciências Socias Aplicadas", 'P1'!G17="Ciências Socias Aplicadas"), 1, 0)</f>
        <v>0</v>
      </c>
      <c r="P17" s="6">
        <f>IF(OR('P1'!F17="Ciências Humanas", 'P1'!G17="Ciências Humanas"), 1, 0)</f>
        <v>1</v>
      </c>
      <c r="Q17" s="6">
        <f>IF(OR(OR('P1'!F17="Linguística", 'P1'!G17="Linguística"),'P1'!F17="Letras e Artes", 'P1'!G17="Letras e Artes"), 1, 0)</f>
        <v>0</v>
      </c>
      <c r="R17" s="6">
        <f>IF('P1'!N17="Sim", 1, 0)</f>
        <v>0</v>
      </c>
      <c r="S17" s="6">
        <f>IF('P1'!H17="Sim", 1, 0)</f>
        <v>1</v>
      </c>
      <c r="T17" s="6">
        <f>IFERROR(__xludf.DUMMYFUNCTION("IF(REGEXMATCH('P1'!I17, ""Ensino""), 1,0)"),1.0)</f>
        <v>1</v>
      </c>
      <c r="U17" s="6">
        <f>IFERROR(__xludf.DUMMYFUNCTION("IF(REGEXMATCH('P1'!I17, ""Pesquisa|pesquisa""), 1,0)"),1.0)</f>
        <v>1</v>
      </c>
      <c r="V17" s="6">
        <f>IFERROR(__xludf.DUMMYFUNCTION("IF(REGEXMATCH('P1'!I17, ""Extensão|extensão""), 1,0)"),1.0)</f>
        <v>1</v>
      </c>
      <c r="W17" s="6">
        <f>IF('P1'!J17="Sim", 1,IF('P1'!J17="Não",0,2))</f>
        <v>2</v>
      </c>
      <c r="X17" s="6">
        <f>IF('P1'!K17="Sim", 1,IF('P1'!K17="Não",0,2))</f>
        <v>2</v>
      </c>
      <c r="Y17" s="6">
        <f>IF('P1'!L17="Sim", 1,IF('P1'!L17="Não",0,2))</f>
        <v>2</v>
      </c>
      <c r="Z17" s="6">
        <f>IF('P1'!M17="Sim", 1,IF('P1'!M17="Não",0,2))</f>
        <v>2</v>
      </c>
      <c r="AA17" s="6">
        <v>1.0</v>
      </c>
      <c r="AB17" s="9">
        <v>997.0</v>
      </c>
      <c r="AC17" s="6">
        <v>33.0</v>
      </c>
      <c r="AD17" s="6">
        <v>3304557.0</v>
      </c>
      <c r="AE17" s="6">
        <v>12.0</v>
      </c>
      <c r="AF17" s="10">
        <v>107716.0</v>
      </c>
      <c r="AG17" s="11">
        <v>107717.0</v>
      </c>
    </row>
    <row r="18">
      <c r="A18" s="6">
        <v>10.0</v>
      </c>
      <c r="B18" s="6">
        <v>586.0</v>
      </c>
      <c r="C18" s="6">
        <v>11.0</v>
      </c>
      <c r="D18" s="7" t="str">
        <f>('P1'!A18)</f>
        <v>NOME </v>
      </c>
      <c r="E18" s="8" t="str">
        <f>('P1'!B18)</f>
        <v>COD_LAB_17</v>
      </c>
      <c r="F18" s="6">
        <v>1.0</v>
      </c>
      <c r="G18" s="7" t="str">
        <f>('P1'!C18)</f>
        <v>DESCRIÇÃO</v>
      </c>
      <c r="H18" s="8" t="str">
        <f>('P1'!D18)</f>
        <v>palavra-chave 1, palavra-chave 2, palavra-chave 3 </v>
      </c>
      <c r="I18" s="6">
        <f>IF('P1'!E18="Sim", 1, 0)</f>
        <v>0</v>
      </c>
      <c r="J18" s="6">
        <f>IF(OR('P1'!F18="Ciências Exatas e da Terra", 'P1'!G18="Ciências Exatas e da Terra"), 1, 0)</f>
        <v>0</v>
      </c>
      <c r="K18" s="6">
        <f>IF(OR('P1'!F18="Ciências Biológicas", 'P1'!G18="Ciências Biológicas"), 1, 0)</f>
        <v>0</v>
      </c>
      <c r="L18" s="6">
        <f>IF(OR('P1'!F18="Engenharias", 'P1'!G18="Engenharias"), 1, 0)</f>
        <v>0</v>
      </c>
      <c r="M18" s="6">
        <f>IF(OR('P1'!F18="Ciências da Saúde", 'P1'!G18="Ciências da Saúde"), 1, 0)</f>
        <v>0</v>
      </c>
      <c r="N18" s="6">
        <f>IF(OR('P1'!F18="Ciências Agrárias", 'P1'!G18="Ciências Agrárias"), 1, 0)</f>
        <v>0</v>
      </c>
      <c r="O18" s="6">
        <f>IF(OR('P1'!F18="Ciências Socias Aplicadas", 'P1'!G18="Ciências Socias Aplicadas"), 1, 0)</f>
        <v>0</v>
      </c>
      <c r="P18" s="6">
        <f>IF(OR('P1'!F18="Ciências Humanas", 'P1'!G18="Ciências Humanas"), 1, 0)</f>
        <v>1</v>
      </c>
      <c r="Q18" s="6">
        <f>IF(OR(OR('P1'!F18="Linguística", 'P1'!G18="Linguística"),'P1'!F18="Letras e Artes", 'P1'!G18="Letras e Artes"), 1, 0)</f>
        <v>0</v>
      </c>
      <c r="R18" s="6">
        <f>IF('P1'!N18="Sim", 1, 0)</f>
        <v>0</v>
      </c>
      <c r="S18" s="6">
        <f>IF('P1'!H18="Sim", 1, 0)</f>
        <v>1</v>
      </c>
      <c r="T18" s="6">
        <f>IFERROR(__xludf.DUMMYFUNCTION("IF(REGEXMATCH('P1'!I18, ""Ensino""), 1,0)"),1.0)</f>
        <v>1</v>
      </c>
      <c r="U18" s="6">
        <f>IFERROR(__xludf.DUMMYFUNCTION("IF(REGEXMATCH('P1'!I18, ""Pesquisa|pesquisa""), 1,0)"),1.0)</f>
        <v>1</v>
      </c>
      <c r="V18" s="6">
        <f>IFERROR(__xludf.DUMMYFUNCTION("IF(REGEXMATCH('P1'!I18, ""Extensão|extensão""), 1,0)"),1.0)</f>
        <v>1</v>
      </c>
      <c r="W18" s="6">
        <f>IF('P1'!J18="Sim", 1,IF('P1'!J18="Não",0,2))</f>
        <v>2</v>
      </c>
      <c r="X18" s="6">
        <f>IF('P1'!K18="Sim", 1,IF('P1'!K18="Não",0,2))</f>
        <v>2</v>
      </c>
      <c r="Y18" s="6">
        <f>IF('P1'!L18="Sim", 1,IF('P1'!L18="Não",0,2))</f>
        <v>2</v>
      </c>
      <c r="Z18" s="6">
        <f>IF('P1'!M18="Sim", 1,IF('P1'!M18="Não",0,2))</f>
        <v>2</v>
      </c>
      <c r="AA18" s="6">
        <v>1.0</v>
      </c>
      <c r="AB18" s="9">
        <v>997.0</v>
      </c>
      <c r="AC18" s="6">
        <v>33.0</v>
      </c>
      <c r="AD18" s="6">
        <v>3304557.0</v>
      </c>
      <c r="AE18" s="6">
        <v>12.0</v>
      </c>
      <c r="AF18" s="10">
        <v>107716.0</v>
      </c>
      <c r="AG18" s="11">
        <v>107717.0</v>
      </c>
    </row>
    <row r="19">
      <c r="A19" s="6">
        <v>10.0</v>
      </c>
      <c r="B19" s="6">
        <v>586.0</v>
      </c>
      <c r="C19" s="6">
        <v>11.0</v>
      </c>
      <c r="D19" s="7" t="str">
        <f>('P1'!A19)</f>
        <v>NOME </v>
      </c>
      <c r="E19" s="8" t="str">
        <f>('P1'!B19)</f>
        <v>COD_LAB_18</v>
      </c>
      <c r="F19" s="6">
        <v>1.0</v>
      </c>
      <c r="G19" s="7" t="str">
        <f>('P1'!C19)</f>
        <v>DESCRIÇÃO</v>
      </c>
      <c r="H19" s="8" t="str">
        <f>('P1'!D19)</f>
        <v>palavra-chave 1, palavra-chave 2, palavra-chave 3 </v>
      </c>
      <c r="I19" s="6">
        <f>IF('P1'!E19="Sim", 1, 0)</f>
        <v>0</v>
      </c>
      <c r="J19" s="6">
        <f>IF(OR('P1'!F19="Ciências Exatas e da Terra", 'P1'!G19="Ciências Exatas e da Terra"), 1, 0)</f>
        <v>0</v>
      </c>
      <c r="K19" s="6">
        <f>IF(OR('P1'!F19="Ciências Biológicas", 'P1'!G19="Ciências Biológicas"), 1, 0)</f>
        <v>0</v>
      </c>
      <c r="L19" s="6">
        <f>IF(OR('P1'!F19="Engenharias", 'P1'!G19="Engenharias"), 1, 0)</f>
        <v>0</v>
      </c>
      <c r="M19" s="6">
        <f>IF(OR('P1'!F19="Ciências da Saúde", 'P1'!G19="Ciências da Saúde"), 1, 0)</f>
        <v>0</v>
      </c>
      <c r="N19" s="6">
        <f>IF(OR('P1'!F19="Ciências Agrárias", 'P1'!G19="Ciências Agrárias"), 1, 0)</f>
        <v>0</v>
      </c>
      <c r="O19" s="6">
        <f>IF(OR('P1'!F19="Ciências Socias Aplicadas", 'P1'!G19="Ciências Socias Aplicadas"), 1, 0)</f>
        <v>1</v>
      </c>
      <c r="P19" s="6">
        <f>IF(OR('P1'!F19="Ciências Humanas", 'P1'!G19="Ciências Humanas"), 1, 0)</f>
        <v>1</v>
      </c>
      <c r="Q19" s="6">
        <f>IF(OR(OR('P1'!F19="Linguística", 'P1'!G19="Linguística"),'P1'!F19="Letras e Artes", 'P1'!G19="Letras e Artes"), 1, 0)</f>
        <v>0</v>
      </c>
      <c r="R19" s="6">
        <f>IF('P1'!N19="Sim", 1, 0)</f>
        <v>0</v>
      </c>
      <c r="S19" s="6">
        <f>IF('P1'!H19="Sim", 1, 0)</f>
        <v>1</v>
      </c>
      <c r="T19" s="6">
        <f>IFERROR(__xludf.DUMMYFUNCTION("IF(REGEXMATCH('P1'!I19, ""Ensino""), 1,0)"),1.0)</f>
        <v>1</v>
      </c>
      <c r="U19" s="6">
        <f>IFERROR(__xludf.DUMMYFUNCTION("IF(REGEXMATCH('P1'!I19, ""Pesquisa|pesquisa""), 1,0)"),1.0)</f>
        <v>1</v>
      </c>
      <c r="V19" s="6">
        <f>IFERROR(__xludf.DUMMYFUNCTION("IF(REGEXMATCH('P1'!I19, ""Extensão|extensão""), 1,0)"),1.0)</f>
        <v>1</v>
      </c>
      <c r="W19" s="6">
        <f>IF('P1'!J19="Sim", 1,IF('P1'!J19="Não",0,2))</f>
        <v>2</v>
      </c>
      <c r="X19" s="6">
        <f>IF('P1'!K19="Sim", 1,IF('P1'!K19="Não",0,2))</f>
        <v>2</v>
      </c>
      <c r="Y19" s="6">
        <f>IF('P1'!L19="Sim", 1,IF('P1'!L19="Não",0,2))</f>
        <v>2</v>
      </c>
      <c r="Z19" s="6">
        <f>IF('P1'!M19="Sim", 1,IF('P1'!M19="Não",0,2))</f>
        <v>2</v>
      </c>
      <c r="AA19" s="6">
        <v>1.0</v>
      </c>
      <c r="AB19" s="9">
        <v>997.0</v>
      </c>
      <c r="AC19" s="6">
        <v>33.0</v>
      </c>
      <c r="AD19" s="6">
        <v>3304557.0</v>
      </c>
      <c r="AE19" s="6">
        <v>12.0</v>
      </c>
      <c r="AF19" s="10">
        <v>107716.0</v>
      </c>
      <c r="AG19" s="11">
        <v>107717.0</v>
      </c>
    </row>
    <row r="20">
      <c r="A20" s="6">
        <v>10.0</v>
      </c>
      <c r="B20" s="6">
        <v>586.0</v>
      </c>
      <c r="C20" s="6">
        <v>11.0</v>
      </c>
      <c r="D20" s="7" t="str">
        <f>('P1'!A20)</f>
        <v>NOME </v>
      </c>
      <c r="E20" s="8" t="str">
        <f>('P1'!B20)</f>
        <v>COD_LAB_19</v>
      </c>
      <c r="F20" s="6">
        <v>1.0</v>
      </c>
      <c r="G20" s="7" t="str">
        <f>('P1'!C20)</f>
        <v>DESCRIÇÃO</v>
      </c>
      <c r="H20" s="8" t="str">
        <f>('P1'!D20)</f>
        <v>palavra-chave 1, palavra-chave 2, palavra-chave 3 </v>
      </c>
      <c r="I20" s="6">
        <f>IF('P1'!E20="Sim", 1, 0)</f>
        <v>0</v>
      </c>
      <c r="J20" s="6">
        <f>IF(OR('P1'!F20="Ciências Exatas e da Terra", 'P1'!G20="Ciências Exatas e da Terra"), 1, 0)</f>
        <v>0</v>
      </c>
      <c r="K20" s="6">
        <f>IF(OR('P1'!F20="Ciências Biológicas", 'P1'!G20="Ciências Biológicas"), 1, 0)</f>
        <v>0</v>
      </c>
      <c r="L20" s="6">
        <f>IF(OR('P1'!F20="Engenharias", 'P1'!G20="Engenharias"), 1, 0)</f>
        <v>0</v>
      </c>
      <c r="M20" s="6">
        <f>IF(OR('P1'!F20="Ciências da Saúde", 'P1'!G20="Ciências da Saúde"), 1, 0)</f>
        <v>0</v>
      </c>
      <c r="N20" s="6">
        <f>IF(OR('P1'!F20="Ciências Agrárias", 'P1'!G20="Ciências Agrárias"), 1, 0)</f>
        <v>0</v>
      </c>
      <c r="O20" s="6">
        <f>IF(OR('P1'!F20="Ciências Socias Aplicadas", 'P1'!G20="Ciências Socias Aplicadas"), 1, 0)</f>
        <v>1</v>
      </c>
      <c r="P20" s="6">
        <f>IF(OR('P1'!F20="Ciências Humanas", 'P1'!G20="Ciências Humanas"), 1, 0)</f>
        <v>1</v>
      </c>
      <c r="Q20" s="6">
        <f>IF(OR(OR('P1'!F20="Linguística", 'P1'!G20="Linguística"),'P1'!F20="Letras e Artes", 'P1'!G20="Letras e Artes"), 1, 0)</f>
        <v>0</v>
      </c>
      <c r="R20" s="6">
        <f>IF('P1'!N20="Sim", 1, 0)</f>
        <v>0</v>
      </c>
      <c r="S20" s="6">
        <f>IF('P1'!H20="Sim", 1, 0)</f>
        <v>1</v>
      </c>
      <c r="T20" s="6">
        <f>IFERROR(__xludf.DUMMYFUNCTION("IF(REGEXMATCH('P1'!I20, ""Ensino""), 1,0)"),1.0)</f>
        <v>1</v>
      </c>
      <c r="U20" s="6">
        <f>IFERROR(__xludf.DUMMYFUNCTION("IF(REGEXMATCH('P1'!I20, ""Pesquisa|pesquisa""), 1,0)"),1.0)</f>
        <v>1</v>
      </c>
      <c r="V20" s="6">
        <f>IFERROR(__xludf.DUMMYFUNCTION("IF(REGEXMATCH('P1'!I20, ""Extensão|extensão""), 1,0)"),1.0)</f>
        <v>1</v>
      </c>
      <c r="W20" s="6">
        <f>IF('P1'!J20="Sim", 1,IF('P1'!J20="Não",0,2))</f>
        <v>2</v>
      </c>
      <c r="X20" s="6">
        <f>IF('P1'!K20="Sim", 1,IF('P1'!K20="Não",0,2))</f>
        <v>2</v>
      </c>
      <c r="Y20" s="6">
        <f>IF('P1'!L20="Sim", 1,IF('P1'!L20="Não",0,2))</f>
        <v>2</v>
      </c>
      <c r="Z20" s="6">
        <f>IF('P1'!M20="Sim", 1,IF('P1'!M20="Não",0,2))</f>
        <v>2</v>
      </c>
      <c r="AA20" s="6">
        <v>1.0</v>
      </c>
      <c r="AB20" s="9">
        <v>997.0</v>
      </c>
      <c r="AC20" s="6">
        <v>33.0</v>
      </c>
      <c r="AD20" s="6">
        <v>3304557.0</v>
      </c>
      <c r="AE20" s="6">
        <v>12.0</v>
      </c>
      <c r="AF20" s="10">
        <v>107716.0</v>
      </c>
      <c r="AG20" s="11">
        <v>107717.0</v>
      </c>
    </row>
    <row r="21">
      <c r="A21" s="6">
        <v>10.0</v>
      </c>
      <c r="B21" s="6">
        <v>586.0</v>
      </c>
      <c r="C21" s="6">
        <v>11.0</v>
      </c>
      <c r="D21" s="7" t="str">
        <f>('P1'!A21)</f>
        <v>NOME </v>
      </c>
      <c r="E21" s="8" t="str">
        <f>('P1'!B21)</f>
        <v>COD_LAB_20</v>
      </c>
      <c r="F21" s="6">
        <v>1.0</v>
      </c>
      <c r="G21" s="7" t="str">
        <f>('P1'!C21)</f>
        <v>DESCRIÇÃO</v>
      </c>
      <c r="H21" s="8" t="str">
        <f>('P1'!D21)</f>
        <v>palavra-chave 1, palavra-chave 2, palavra-chave 3 </v>
      </c>
      <c r="I21" s="6">
        <f>IF('P1'!E21="Sim", 1, 0)</f>
        <v>0</v>
      </c>
      <c r="J21" s="6">
        <f>IF(OR('P1'!F21="Ciências Exatas e da Terra", 'P1'!G21="Ciências Exatas e da Terra"), 1, 0)</f>
        <v>0</v>
      </c>
      <c r="K21" s="6">
        <f>IF(OR('P1'!F21="Ciências Biológicas", 'P1'!G21="Ciências Biológicas"), 1, 0)</f>
        <v>0</v>
      </c>
      <c r="L21" s="6">
        <f>IF(OR('P1'!F21="Engenharias", 'P1'!G21="Engenharias"), 1, 0)</f>
        <v>0</v>
      </c>
      <c r="M21" s="6">
        <f>IF(OR('P1'!F21="Ciências da Saúde", 'P1'!G21="Ciências da Saúde"), 1, 0)</f>
        <v>0</v>
      </c>
      <c r="N21" s="6">
        <f>IF(OR('P1'!F21="Ciências Agrárias", 'P1'!G21="Ciências Agrárias"), 1, 0)</f>
        <v>0</v>
      </c>
      <c r="O21" s="6">
        <f>IF(OR('P1'!F21="Ciências Socias Aplicadas", 'P1'!G21="Ciências Socias Aplicadas"), 1, 0)</f>
        <v>0</v>
      </c>
      <c r="P21" s="6">
        <f>IF(OR('P1'!F21="Ciências Humanas", 'P1'!G21="Ciências Humanas"), 1, 0)</f>
        <v>1</v>
      </c>
      <c r="Q21" s="6">
        <f>IF(OR(OR('P1'!F21="Linguística", 'P1'!G21="Linguística"),'P1'!F21="Letras e Artes", 'P1'!G21="Letras e Artes"), 1, 0)</f>
        <v>0</v>
      </c>
      <c r="R21" s="6">
        <f>IF('P1'!N21="Sim", 1, 0)</f>
        <v>0</v>
      </c>
      <c r="S21" s="6">
        <f>IF('P1'!H21="Sim", 1, 0)</f>
        <v>1</v>
      </c>
      <c r="T21" s="6">
        <f>IFERROR(__xludf.DUMMYFUNCTION("IF(REGEXMATCH('P1'!I21, ""Ensino""), 1,0)"),1.0)</f>
        <v>1</v>
      </c>
      <c r="U21" s="6">
        <f>IFERROR(__xludf.DUMMYFUNCTION("IF(REGEXMATCH('P1'!I21, ""Pesquisa|pesquisa""), 1,0)"),1.0)</f>
        <v>1</v>
      </c>
      <c r="V21" s="6">
        <f>IFERROR(__xludf.DUMMYFUNCTION("IF(REGEXMATCH('P1'!I21, ""Extensão|extensão""), 1,0)"),1.0)</f>
        <v>1</v>
      </c>
      <c r="W21" s="6">
        <f>IF('P1'!J21="Sim", 1,IF('P1'!J21="Não",0,2))</f>
        <v>2</v>
      </c>
      <c r="X21" s="6">
        <f>IF('P1'!K21="Sim", 1,IF('P1'!K21="Não",0,2))</f>
        <v>2</v>
      </c>
      <c r="Y21" s="6">
        <f>IF('P1'!L21="Sim", 1,IF('P1'!L21="Não",0,2))</f>
        <v>2</v>
      </c>
      <c r="Z21" s="6">
        <f>IF('P1'!M21="Sim", 1,IF('P1'!M21="Não",0,2))</f>
        <v>2</v>
      </c>
      <c r="AA21" s="6">
        <v>1.0</v>
      </c>
      <c r="AB21" s="9">
        <v>997.0</v>
      </c>
      <c r="AC21" s="6">
        <v>33.0</v>
      </c>
      <c r="AD21" s="6">
        <v>3304557.0</v>
      </c>
      <c r="AE21" s="6">
        <v>12.0</v>
      </c>
      <c r="AF21" s="10">
        <v>107716.0</v>
      </c>
      <c r="AG21" s="11">
        <v>107717.0</v>
      </c>
    </row>
    <row r="22">
      <c r="A22" s="6">
        <v>10.0</v>
      </c>
      <c r="B22" s="6">
        <v>586.0</v>
      </c>
      <c r="C22" s="6">
        <v>11.0</v>
      </c>
      <c r="D22" s="7" t="str">
        <f>('P1'!A22)</f>
        <v>NOME </v>
      </c>
      <c r="E22" s="8" t="str">
        <f>('P1'!B22)</f>
        <v>COD_LAB_21</v>
      </c>
      <c r="F22" s="6">
        <v>1.0</v>
      </c>
      <c r="G22" s="7" t="str">
        <f>('P1'!C22)</f>
        <v>DESCRIÇÃO</v>
      </c>
      <c r="H22" s="8" t="str">
        <f>('P1'!D22)</f>
        <v>palavra-chave 1, palavra-chave 2, palavra-chave 3 </v>
      </c>
      <c r="I22" s="6">
        <f>IF('P1'!E22="Sim", 1, 0)</f>
        <v>0</v>
      </c>
      <c r="J22" s="6">
        <f>IF(OR('P1'!F22="Ciências Exatas e da Terra", 'P1'!G22="Ciências Exatas e da Terra"), 1, 0)</f>
        <v>0</v>
      </c>
      <c r="K22" s="6">
        <f>IF(OR('P1'!F22="Ciências Biológicas", 'P1'!G22="Ciências Biológicas"), 1, 0)</f>
        <v>0</v>
      </c>
      <c r="L22" s="6">
        <f>IF(OR('P1'!F22="Engenharias", 'P1'!G22="Engenharias"), 1, 0)</f>
        <v>0</v>
      </c>
      <c r="M22" s="6">
        <f>IF(OR('P1'!F22="Ciências da Saúde", 'P1'!G22="Ciências da Saúde"), 1, 0)</f>
        <v>0</v>
      </c>
      <c r="N22" s="6">
        <f>IF(OR('P1'!F22="Ciências Agrárias", 'P1'!G22="Ciências Agrárias"), 1, 0)</f>
        <v>0</v>
      </c>
      <c r="O22" s="6">
        <f>IF(OR('P1'!F22="Ciências Socias Aplicadas", 'P1'!G22="Ciências Socias Aplicadas"), 1, 0)</f>
        <v>0</v>
      </c>
      <c r="P22" s="6">
        <f>IF(OR('P1'!F22="Ciências Humanas", 'P1'!G22="Ciências Humanas"), 1, 0)</f>
        <v>1</v>
      </c>
      <c r="Q22" s="6">
        <f>IF(OR(OR('P1'!F22="Linguística", 'P1'!G22="Linguística"),'P1'!F22="Letras e Artes", 'P1'!G22="Letras e Artes"), 1, 0)</f>
        <v>0</v>
      </c>
      <c r="R22" s="6">
        <f>IF('P1'!N22="Sim", 1, 0)</f>
        <v>0</v>
      </c>
      <c r="S22" s="6">
        <f>IF('P1'!H22="Sim", 1, 0)</f>
        <v>1</v>
      </c>
      <c r="T22" s="6">
        <f>IFERROR(__xludf.DUMMYFUNCTION("IF(REGEXMATCH('P1'!I22, ""Ensino""), 1,0)"),1.0)</f>
        <v>1</v>
      </c>
      <c r="U22" s="6">
        <f>IFERROR(__xludf.DUMMYFUNCTION("IF(REGEXMATCH('P1'!I22, ""Pesquisa|pesquisa""), 1,0)"),1.0)</f>
        <v>1</v>
      </c>
      <c r="V22" s="6">
        <f>IFERROR(__xludf.DUMMYFUNCTION("IF(REGEXMATCH('P1'!I22, ""Extensão|extensão""), 1,0)"),1.0)</f>
        <v>1</v>
      </c>
      <c r="W22" s="6">
        <f>IF('P1'!J22="Sim", 1,IF('P1'!J22="Não",0,2))</f>
        <v>2</v>
      </c>
      <c r="X22" s="6">
        <f>IF('P1'!K22="Sim", 1,IF('P1'!K22="Não",0,2))</f>
        <v>2</v>
      </c>
      <c r="Y22" s="6">
        <f>IF('P1'!L22="Sim", 1,IF('P1'!L22="Não",0,2))</f>
        <v>2</v>
      </c>
      <c r="Z22" s="6">
        <f>IF('P1'!M22="Sim", 1,IF('P1'!M22="Não",0,2))</f>
        <v>2</v>
      </c>
      <c r="AA22" s="6">
        <v>1.0</v>
      </c>
      <c r="AB22" s="9">
        <v>997.0</v>
      </c>
      <c r="AC22" s="6">
        <v>33.0</v>
      </c>
      <c r="AD22" s="6">
        <v>3304557.0</v>
      </c>
      <c r="AE22" s="6">
        <v>12.0</v>
      </c>
      <c r="AF22" s="10">
        <v>107716.0</v>
      </c>
      <c r="AG22" s="11">
        <v>107717.0</v>
      </c>
    </row>
    <row r="23">
      <c r="A23" s="6">
        <v>10.0</v>
      </c>
      <c r="B23" s="6">
        <v>586.0</v>
      </c>
      <c r="C23" s="6">
        <v>11.0</v>
      </c>
      <c r="D23" s="7" t="str">
        <f>('P1'!A23)</f>
        <v>NOME </v>
      </c>
      <c r="E23" s="8" t="str">
        <f>('P1'!B23)</f>
        <v>COD_LAB_22</v>
      </c>
      <c r="F23" s="6">
        <v>1.0</v>
      </c>
      <c r="G23" s="7" t="str">
        <f>('P1'!C23)</f>
        <v>DESCRIÇÃO</v>
      </c>
      <c r="H23" s="8" t="str">
        <f>('P1'!D23)</f>
        <v>palavra-chave 1, palavra-chave 2, palavra-chave 3 </v>
      </c>
      <c r="I23" s="6">
        <f>IF('P1'!E23="Sim", 1, 0)</f>
        <v>0</v>
      </c>
      <c r="J23" s="6">
        <f>IF(OR('P1'!F23="Ciências Exatas e da Terra", 'P1'!G23="Ciências Exatas e da Terra"), 1, 0)</f>
        <v>0</v>
      </c>
      <c r="K23" s="6">
        <f>IF(OR('P1'!F23="Ciências Biológicas", 'P1'!G23="Ciências Biológicas"), 1, 0)</f>
        <v>0</v>
      </c>
      <c r="L23" s="6">
        <f>IF(OR('P1'!F23="Engenharias", 'P1'!G23="Engenharias"), 1, 0)</f>
        <v>0</v>
      </c>
      <c r="M23" s="6">
        <f>IF(OR('P1'!F23="Ciências da Saúde", 'P1'!G23="Ciências da Saúde"), 1, 0)</f>
        <v>0</v>
      </c>
      <c r="N23" s="6">
        <f>IF(OR('P1'!F23="Ciências Agrárias", 'P1'!G23="Ciências Agrárias"), 1, 0)</f>
        <v>0</v>
      </c>
      <c r="O23" s="6">
        <f>IF(OR('P1'!F23="Ciências Socias Aplicadas", 'P1'!G23="Ciências Socias Aplicadas"), 1, 0)</f>
        <v>0</v>
      </c>
      <c r="P23" s="6">
        <f>IF(OR('P1'!F23="Ciências Humanas", 'P1'!G23="Ciências Humanas"), 1, 0)</f>
        <v>1</v>
      </c>
      <c r="Q23" s="6">
        <f>IF(OR(OR('P1'!F23="Linguística", 'P1'!G23="Linguística"),'P1'!F23="Letras e Artes", 'P1'!G23="Letras e Artes"), 1, 0)</f>
        <v>1</v>
      </c>
      <c r="R23" s="6">
        <f>IF('P1'!N23="Sim", 1, 0)</f>
        <v>0</v>
      </c>
      <c r="S23" s="6">
        <f>IF('P1'!H23="Sim", 1, 0)</f>
        <v>1</v>
      </c>
      <c r="T23" s="6">
        <f>IFERROR(__xludf.DUMMYFUNCTION("IF(REGEXMATCH('P1'!I23, ""Ensino""), 1,0)"),1.0)</f>
        <v>1</v>
      </c>
      <c r="U23" s="6">
        <f>IFERROR(__xludf.DUMMYFUNCTION("IF(REGEXMATCH('P1'!I23, ""Pesquisa|pesquisa""), 1,0)"),1.0)</f>
        <v>1</v>
      </c>
      <c r="V23" s="6">
        <f>IFERROR(__xludf.DUMMYFUNCTION("IF(REGEXMATCH('P1'!I23, ""Extensão|extensão""), 1,0)"),1.0)</f>
        <v>1</v>
      </c>
      <c r="W23" s="6">
        <f>IF('P1'!J23="Sim", 1,IF('P1'!J23="Não",0,2))</f>
        <v>0</v>
      </c>
      <c r="X23" s="6">
        <f>IF('P1'!K23="Sim", 1,IF('P1'!K23="Não",0,2))</f>
        <v>2</v>
      </c>
      <c r="Y23" s="6">
        <f>IF('P1'!L23="Sim", 1,IF('P1'!L23="Não",0,2))</f>
        <v>0</v>
      </c>
      <c r="Z23" s="6">
        <f>IF('P1'!M23="Sim", 1,IF('P1'!M23="Não",0,2))</f>
        <v>2</v>
      </c>
      <c r="AA23" s="6">
        <v>1.0</v>
      </c>
      <c r="AB23" s="9">
        <v>997.0</v>
      </c>
      <c r="AC23" s="6">
        <v>33.0</v>
      </c>
      <c r="AD23" s="6">
        <v>3304557.0</v>
      </c>
      <c r="AE23" s="6">
        <v>12.0</v>
      </c>
      <c r="AF23" s="10">
        <v>107716.0</v>
      </c>
      <c r="AG23" s="11">
        <v>107717.0</v>
      </c>
    </row>
    <row r="24">
      <c r="A24" s="6">
        <v>10.0</v>
      </c>
      <c r="B24" s="6">
        <v>586.0</v>
      </c>
      <c r="C24" s="6">
        <v>11.0</v>
      </c>
      <c r="D24" s="7" t="str">
        <f>('P1'!A24)</f>
        <v>NOME </v>
      </c>
      <c r="E24" s="8" t="str">
        <f>('P1'!B24)</f>
        <v>COD_LAB_23</v>
      </c>
      <c r="F24" s="6">
        <v>1.0</v>
      </c>
      <c r="G24" s="7" t="str">
        <f>('P1'!C24)</f>
        <v>DESCRIÇÃO</v>
      </c>
      <c r="H24" s="8" t="str">
        <f>('P1'!D24)</f>
        <v>palavra-chave 1, palavra-chave 2, palavra-chave 3 </v>
      </c>
      <c r="I24" s="6">
        <f>IF('P1'!E24="Sim", 1, 0)</f>
        <v>0</v>
      </c>
      <c r="J24" s="6">
        <f>IF(OR('P1'!F24="Ciências Exatas e da Terra", 'P1'!G24="Ciências Exatas e da Terra"), 1, 0)</f>
        <v>0</v>
      </c>
      <c r="K24" s="6">
        <f>IF(OR('P1'!F24="Ciências Biológicas", 'P1'!G24="Ciências Biológicas"), 1, 0)</f>
        <v>0</v>
      </c>
      <c r="L24" s="6">
        <f>IF(OR('P1'!F24="Engenharias", 'P1'!G24="Engenharias"), 1, 0)</f>
        <v>0</v>
      </c>
      <c r="M24" s="6">
        <f>IF(OR('P1'!F24="Ciências da Saúde", 'P1'!G24="Ciências da Saúde"), 1, 0)</f>
        <v>0</v>
      </c>
      <c r="N24" s="6">
        <f>IF(OR('P1'!F24="Ciências Agrárias", 'P1'!G24="Ciências Agrárias"), 1, 0)</f>
        <v>0</v>
      </c>
      <c r="O24" s="6">
        <f>IF(OR('P1'!F24="Ciências Socias Aplicadas", 'P1'!G24="Ciências Socias Aplicadas"), 1, 0)</f>
        <v>0</v>
      </c>
      <c r="P24" s="6">
        <f>IF(OR('P1'!F24="Ciências Humanas", 'P1'!G24="Ciências Humanas"), 1, 0)</f>
        <v>1</v>
      </c>
      <c r="Q24" s="6">
        <f>IF(OR(OR('P1'!F24="Linguística", 'P1'!G24="Linguística"),'P1'!F24="Letras e Artes", 'P1'!G24="Letras e Artes"), 1, 0)</f>
        <v>1</v>
      </c>
      <c r="R24" s="6">
        <f>IF('P1'!N24="Sim", 1, 0)</f>
        <v>0</v>
      </c>
      <c r="S24" s="6">
        <f>IF('P1'!H24="Sim", 1, 0)</f>
        <v>1</v>
      </c>
      <c r="T24" s="6">
        <f>IFERROR(__xludf.DUMMYFUNCTION("IF(REGEXMATCH('P1'!I24, ""Ensino""), 1,0)"),1.0)</f>
        <v>1</v>
      </c>
      <c r="U24" s="6">
        <f>IFERROR(__xludf.DUMMYFUNCTION("IF(REGEXMATCH('P1'!I24, ""Pesquisa|pesquisa""), 1,0)"),1.0)</f>
        <v>1</v>
      </c>
      <c r="V24" s="6">
        <f>IFERROR(__xludf.DUMMYFUNCTION("IF(REGEXMATCH('P1'!I24, ""Extensão|extensão""), 1,0)"),1.0)</f>
        <v>1</v>
      </c>
      <c r="W24" s="6">
        <f>IF('P1'!J24="Sim", 1,IF('P1'!J24="Não",0,2))</f>
        <v>2</v>
      </c>
      <c r="X24" s="6">
        <f>IF('P1'!K24="Sim", 1,IF('P1'!K24="Não",0,2))</f>
        <v>2</v>
      </c>
      <c r="Y24" s="6">
        <f>IF('P1'!L24="Sim", 1,IF('P1'!L24="Não",0,2))</f>
        <v>2</v>
      </c>
      <c r="Z24" s="6">
        <f>IF('P1'!M24="Sim", 1,IF('P1'!M24="Não",0,2))</f>
        <v>2</v>
      </c>
      <c r="AA24" s="6">
        <v>1.0</v>
      </c>
      <c r="AB24" s="9">
        <v>997.0</v>
      </c>
      <c r="AC24" s="6">
        <v>33.0</v>
      </c>
      <c r="AD24" s="6">
        <v>3304557.0</v>
      </c>
      <c r="AE24" s="6">
        <v>12.0</v>
      </c>
      <c r="AF24" s="10">
        <v>107716.0</v>
      </c>
      <c r="AG24" s="11">
        <v>107717.0</v>
      </c>
    </row>
    <row r="25">
      <c r="A25" s="6">
        <v>10.0</v>
      </c>
      <c r="B25" s="6">
        <v>586.0</v>
      </c>
      <c r="C25" s="6">
        <v>11.0</v>
      </c>
      <c r="D25" s="7" t="str">
        <f>('P1'!A25)</f>
        <v>NOME </v>
      </c>
      <c r="E25" s="8" t="str">
        <f>('P1'!B25)</f>
        <v>COD_LAB_24</v>
      </c>
      <c r="F25" s="6">
        <v>1.0</v>
      </c>
      <c r="G25" s="7" t="str">
        <f>('P1'!C25)</f>
        <v>DESCRIÇÃO</v>
      </c>
      <c r="H25" s="8" t="str">
        <f>('P1'!D25)</f>
        <v>palavra-chave 1, palavra-chave 2, palavra-chave 3 </v>
      </c>
      <c r="I25" s="6">
        <f>IF('P1'!E25="Sim", 1, 0)</f>
        <v>0</v>
      </c>
      <c r="J25" s="6">
        <f>IF(OR('P1'!F25="Ciências Exatas e da Terra", 'P1'!G25="Ciências Exatas e da Terra"), 1, 0)</f>
        <v>0</v>
      </c>
      <c r="K25" s="6">
        <f>IF(OR('P1'!F25="Ciências Biológicas", 'P1'!G25="Ciências Biológicas"), 1, 0)</f>
        <v>0</v>
      </c>
      <c r="L25" s="6">
        <f>IF(OR('P1'!F25="Engenharias", 'P1'!G25="Engenharias"), 1, 0)</f>
        <v>0</v>
      </c>
      <c r="M25" s="6">
        <f>IF(OR('P1'!F25="Ciências da Saúde", 'P1'!G25="Ciências da Saúde"), 1, 0)</f>
        <v>0</v>
      </c>
      <c r="N25" s="6">
        <f>IF(OR('P1'!F25="Ciências Agrárias", 'P1'!G25="Ciências Agrárias"), 1, 0)</f>
        <v>0</v>
      </c>
      <c r="O25" s="6">
        <f>IF(OR('P1'!F25="Ciências Socias Aplicadas", 'P1'!G25="Ciências Socias Aplicadas"), 1, 0)</f>
        <v>1</v>
      </c>
      <c r="P25" s="6">
        <f>IF(OR('P1'!F25="Ciências Humanas", 'P1'!G25="Ciências Humanas"), 1, 0)</f>
        <v>1</v>
      </c>
      <c r="Q25" s="6">
        <f>IF(OR(OR('P1'!F25="Linguística", 'P1'!G25="Linguística"),'P1'!F25="Letras e Artes", 'P1'!G25="Letras e Artes"), 1, 0)</f>
        <v>0</v>
      </c>
      <c r="R25" s="6">
        <f>IF('P1'!N25="Sim", 1, 0)</f>
        <v>0</v>
      </c>
      <c r="S25" s="6">
        <f>IF('P1'!H25="Sim", 1, 0)</f>
        <v>1</v>
      </c>
      <c r="T25" s="6">
        <f>IFERROR(__xludf.DUMMYFUNCTION("IF(REGEXMATCH('P1'!I25, ""Ensino""), 1,0)"),1.0)</f>
        <v>1</v>
      </c>
      <c r="U25" s="6">
        <f>IFERROR(__xludf.DUMMYFUNCTION("IF(REGEXMATCH('P1'!I25, ""Pesquisa|pesquisa""), 1,0)"),1.0)</f>
        <v>1</v>
      </c>
      <c r="V25" s="6">
        <f>IFERROR(__xludf.DUMMYFUNCTION("IF(REGEXMATCH('P1'!I25, ""Extensão|extensão""), 1,0)"),1.0)</f>
        <v>1</v>
      </c>
      <c r="W25" s="6">
        <f>IF('P1'!J25="Sim", 1,IF('P1'!J25="Não",0,2))</f>
        <v>0</v>
      </c>
      <c r="X25" s="6">
        <f>IF('P1'!K25="Sim", 1,IF('P1'!K25="Não",0,2))</f>
        <v>0</v>
      </c>
      <c r="Y25" s="6">
        <f>IF('P1'!L25="Sim", 1,IF('P1'!L25="Não",0,2))</f>
        <v>0</v>
      </c>
      <c r="Z25" s="6">
        <f>IF('P1'!M25="Sim", 1,IF('P1'!M25="Não",0,2))</f>
        <v>2</v>
      </c>
      <c r="AA25" s="6">
        <v>1.0</v>
      </c>
      <c r="AB25" s="9">
        <v>997.0</v>
      </c>
      <c r="AC25" s="6">
        <v>33.0</v>
      </c>
      <c r="AD25" s="6">
        <v>3304557.0</v>
      </c>
      <c r="AE25" s="6">
        <v>12.0</v>
      </c>
      <c r="AF25" s="10">
        <v>107716.0</v>
      </c>
      <c r="AG25" s="11">
        <v>107717.0</v>
      </c>
    </row>
    <row r="26">
      <c r="A26" s="6">
        <v>10.0</v>
      </c>
      <c r="B26" s="6">
        <v>586.0</v>
      </c>
      <c r="C26" s="6">
        <v>11.0</v>
      </c>
      <c r="D26" s="7" t="str">
        <f>('P1'!A26)</f>
        <v>NOME </v>
      </c>
      <c r="E26" s="8" t="str">
        <f>('P1'!B26)</f>
        <v>COD_LAB_25</v>
      </c>
      <c r="F26" s="6">
        <v>1.0</v>
      </c>
      <c r="G26" s="7" t="str">
        <f>('P1'!C26)</f>
        <v>DESCRIÇÃO</v>
      </c>
      <c r="H26" s="8" t="str">
        <f>('P1'!D26)</f>
        <v>palavra-chave 1, palavra-chave 2, palavra-chave 3 </v>
      </c>
      <c r="I26" s="6">
        <f>IF('P1'!E26="Sim", 1, 0)</f>
        <v>0</v>
      </c>
      <c r="J26" s="6">
        <f>IF(OR('P1'!F26="Ciências Exatas e da Terra", 'P1'!G26="Ciências Exatas e da Terra"), 1, 0)</f>
        <v>0</v>
      </c>
      <c r="K26" s="6">
        <f>IF(OR('P1'!F26="Ciências Biológicas", 'P1'!G26="Ciências Biológicas"), 1, 0)</f>
        <v>0</v>
      </c>
      <c r="L26" s="6">
        <f>IF(OR('P1'!F26="Engenharias", 'P1'!G26="Engenharias"), 1, 0)</f>
        <v>0</v>
      </c>
      <c r="M26" s="6">
        <f>IF(OR('P1'!F26="Ciências da Saúde", 'P1'!G26="Ciências da Saúde"), 1, 0)</f>
        <v>0</v>
      </c>
      <c r="N26" s="6">
        <f>IF(OR('P1'!F26="Ciências Agrárias", 'P1'!G26="Ciências Agrárias"), 1, 0)</f>
        <v>0</v>
      </c>
      <c r="O26" s="6">
        <f>IF(OR('P1'!F26="Ciências Socias Aplicadas", 'P1'!G26="Ciências Socias Aplicadas"), 1, 0)</f>
        <v>0</v>
      </c>
      <c r="P26" s="6">
        <f>IF(OR('P1'!F26="Ciências Humanas", 'P1'!G26="Ciências Humanas"), 1, 0)</f>
        <v>1</v>
      </c>
      <c r="Q26" s="6">
        <f>IF(OR(OR('P1'!F26="Linguística", 'P1'!G26="Linguística"),'P1'!F26="Letras e Artes", 'P1'!G26="Letras e Artes"), 1, 0)</f>
        <v>0</v>
      </c>
      <c r="R26" s="6">
        <f>IF('P1'!N26="Sim", 1, 0)</f>
        <v>0</v>
      </c>
      <c r="S26" s="6">
        <f>IF('P1'!H26="Sim", 1, 0)</f>
        <v>1</v>
      </c>
      <c r="T26" s="6">
        <f>IFERROR(__xludf.DUMMYFUNCTION("IF(REGEXMATCH('P1'!I26, ""Ensino""), 1,0)"),1.0)</f>
        <v>1</v>
      </c>
      <c r="U26" s="6">
        <f>IFERROR(__xludf.DUMMYFUNCTION("IF(REGEXMATCH('P1'!I26, ""Pesquisa|pesquisa""), 1,0)"),1.0)</f>
        <v>1</v>
      </c>
      <c r="V26" s="6">
        <f>IFERROR(__xludf.DUMMYFUNCTION("IF(REGEXMATCH('P1'!I26, ""Extensão|extensão""), 1,0)"),1.0)</f>
        <v>1</v>
      </c>
      <c r="W26" s="6">
        <f>IF('P1'!J26="Sim", 1,IF('P1'!J26="Não",0,2))</f>
        <v>0</v>
      </c>
      <c r="X26" s="6">
        <f>IF('P1'!K26="Sim", 1,IF('P1'!K26="Não",0,2))</f>
        <v>0</v>
      </c>
      <c r="Y26" s="6">
        <f>IF('P1'!L26="Sim", 1,IF('P1'!L26="Não",0,2))</f>
        <v>0</v>
      </c>
      <c r="Z26" s="6">
        <f>IF('P1'!M26="Sim", 1,IF('P1'!M26="Não",0,2))</f>
        <v>0</v>
      </c>
      <c r="AA26" s="6">
        <v>1.0</v>
      </c>
      <c r="AB26" s="9">
        <v>997.0</v>
      </c>
      <c r="AC26" s="6">
        <v>33.0</v>
      </c>
      <c r="AD26" s="6">
        <v>3304557.0</v>
      </c>
      <c r="AE26" s="6">
        <v>12.0</v>
      </c>
      <c r="AF26" s="10">
        <v>107716.0</v>
      </c>
      <c r="AG26" s="11">
        <v>107717.0</v>
      </c>
    </row>
    <row r="27">
      <c r="A27" s="6">
        <v>10.0</v>
      </c>
      <c r="B27" s="6">
        <v>586.0</v>
      </c>
      <c r="C27" s="6">
        <v>11.0</v>
      </c>
      <c r="D27" s="7" t="str">
        <f>('P1'!A27)</f>
        <v>NOME </v>
      </c>
      <c r="E27" s="8" t="str">
        <f>('P1'!B27)</f>
        <v>COD_LAB_26</v>
      </c>
      <c r="F27" s="6">
        <v>1.0</v>
      </c>
      <c r="G27" s="7" t="str">
        <f>('P1'!C27)</f>
        <v>DESCRIÇÃO</v>
      </c>
      <c r="H27" s="8" t="str">
        <f>('P1'!D27)</f>
        <v>palavra-chave 1, palavra-chave 2, palavra-chave 3 </v>
      </c>
      <c r="I27" s="6">
        <f>IF('P1'!E27="Sim", 1, 0)</f>
        <v>0</v>
      </c>
      <c r="J27" s="6">
        <f>IF(OR('P1'!F27="Ciências Exatas e da Terra", 'P1'!G27="Ciências Exatas e da Terra"), 1, 0)</f>
        <v>0</v>
      </c>
      <c r="K27" s="6">
        <f>IF(OR('P1'!F27="Ciências Biológicas", 'P1'!G27="Ciências Biológicas"), 1, 0)</f>
        <v>0</v>
      </c>
      <c r="L27" s="6">
        <f>IF(OR('P1'!F27="Engenharias", 'P1'!G27="Engenharias"), 1, 0)</f>
        <v>0</v>
      </c>
      <c r="M27" s="6">
        <f>IF(OR('P1'!F27="Ciências da Saúde", 'P1'!G27="Ciências da Saúde"), 1, 0)</f>
        <v>0</v>
      </c>
      <c r="N27" s="6">
        <f>IF(OR('P1'!F27="Ciências Agrárias", 'P1'!G27="Ciências Agrárias"), 1, 0)</f>
        <v>0</v>
      </c>
      <c r="O27" s="6">
        <f>IF(OR('P1'!F27="Ciências Socias Aplicadas", 'P1'!G27="Ciências Socias Aplicadas"), 1, 0)</f>
        <v>0</v>
      </c>
      <c r="P27" s="6">
        <f>IF(OR('P1'!F27="Ciências Humanas", 'P1'!G27="Ciências Humanas"), 1, 0)</f>
        <v>1</v>
      </c>
      <c r="Q27" s="6">
        <f>IF(OR(OR('P1'!F27="Linguística", 'P1'!G27="Linguística"),'P1'!F27="Letras e Artes", 'P1'!G27="Letras e Artes"), 1, 0)</f>
        <v>0</v>
      </c>
      <c r="R27" s="6">
        <f>IF('P1'!N27="Sim", 1, 0)</f>
        <v>0</v>
      </c>
      <c r="S27" s="6">
        <f>IF('P1'!H27="Sim", 1, 0)</f>
        <v>1</v>
      </c>
      <c r="T27" s="6">
        <f>IFERROR(__xludf.DUMMYFUNCTION("IF(REGEXMATCH('P1'!I27, ""Ensino""), 1,0)"),1.0)</f>
        <v>1</v>
      </c>
      <c r="U27" s="6">
        <f>IFERROR(__xludf.DUMMYFUNCTION("IF(REGEXMATCH('P1'!I27, ""Pesquisa|pesquisa""), 1,0)"),1.0)</f>
        <v>1</v>
      </c>
      <c r="V27" s="6">
        <f>IFERROR(__xludf.DUMMYFUNCTION("IF(REGEXMATCH('P1'!I27, ""Extensão|extensão""), 1,0)"),1.0)</f>
        <v>1</v>
      </c>
      <c r="W27" s="6">
        <f>IF('P1'!J27="Sim", 1,IF('P1'!J27="Não",0,2))</f>
        <v>0</v>
      </c>
      <c r="X27" s="6">
        <f>IF('P1'!K27="Sim", 1,IF('P1'!K27="Não",0,2))</f>
        <v>0</v>
      </c>
      <c r="Y27" s="6">
        <f>IF('P1'!L27="Sim", 1,IF('P1'!L27="Não",0,2))</f>
        <v>0</v>
      </c>
      <c r="Z27" s="6">
        <f>IF('P1'!M27="Sim", 1,IF('P1'!M27="Não",0,2))</f>
        <v>0</v>
      </c>
      <c r="AA27" s="6">
        <v>1.0</v>
      </c>
      <c r="AB27" s="9">
        <v>997.0</v>
      </c>
      <c r="AC27" s="6">
        <v>33.0</v>
      </c>
      <c r="AD27" s="6">
        <v>3304557.0</v>
      </c>
      <c r="AE27" s="6">
        <v>12.0</v>
      </c>
      <c r="AF27" s="10">
        <v>107716.0</v>
      </c>
      <c r="AG27" s="11">
        <v>107717.0</v>
      </c>
    </row>
    <row r="28">
      <c r="A28" s="6">
        <v>10.0</v>
      </c>
      <c r="B28" s="6">
        <v>586.0</v>
      </c>
      <c r="C28" s="6">
        <v>11.0</v>
      </c>
      <c r="D28" s="7" t="str">
        <f>('P1'!A28)</f>
        <v>NOME </v>
      </c>
      <c r="E28" s="8" t="str">
        <f>('P1'!B28)</f>
        <v>COD_LAB_27</v>
      </c>
      <c r="F28" s="6">
        <v>1.0</v>
      </c>
      <c r="G28" s="7" t="str">
        <f>('P1'!C28)</f>
        <v>DESCRIÇÃO</v>
      </c>
      <c r="H28" s="8" t="str">
        <f>('P1'!D28)</f>
        <v>palavra-chave 1, palavra-chave 2, palavra-chave 3 </v>
      </c>
      <c r="I28" s="6">
        <f>IF('P1'!E28="Sim", 1, 0)</f>
        <v>0</v>
      </c>
      <c r="J28" s="6">
        <f>IF(OR('P1'!F28="Ciências Exatas e da Terra", 'P1'!G28="Ciências Exatas e da Terra"), 1, 0)</f>
        <v>0</v>
      </c>
      <c r="K28" s="6">
        <f>IF(OR('P1'!F28="Ciências Biológicas", 'P1'!G28="Ciências Biológicas"), 1, 0)</f>
        <v>0</v>
      </c>
      <c r="L28" s="6">
        <f>IF(OR('P1'!F28="Engenharias", 'P1'!G28="Engenharias"), 1, 0)</f>
        <v>0</v>
      </c>
      <c r="M28" s="6">
        <f>IF(OR('P1'!F28="Ciências da Saúde", 'P1'!G28="Ciências da Saúde"), 1, 0)</f>
        <v>0</v>
      </c>
      <c r="N28" s="6">
        <f>IF(OR('P1'!F28="Ciências Agrárias", 'P1'!G28="Ciências Agrárias"), 1, 0)</f>
        <v>0</v>
      </c>
      <c r="O28" s="6">
        <f>IF(OR('P1'!F28="Ciências Socias Aplicadas", 'P1'!G28="Ciências Socias Aplicadas"), 1, 0)</f>
        <v>0</v>
      </c>
      <c r="P28" s="6">
        <f>IF(OR('P1'!F28="Ciências Humanas", 'P1'!G28="Ciências Humanas"), 1, 0)</f>
        <v>1</v>
      </c>
      <c r="Q28" s="6">
        <f>IF(OR(OR('P1'!F28="Linguística", 'P1'!G28="Linguística"),'P1'!F28="Letras e Artes", 'P1'!G28="Letras e Artes"), 1, 0)</f>
        <v>0</v>
      </c>
      <c r="R28" s="6">
        <f>IF('P1'!N28="Sim", 1, 0)</f>
        <v>0</v>
      </c>
      <c r="S28" s="6">
        <f>IF('P1'!H28="Sim", 1, 0)</f>
        <v>1</v>
      </c>
      <c r="T28" s="6">
        <f>IFERROR(__xludf.DUMMYFUNCTION("IF(REGEXMATCH('P1'!I28, ""Ensino""), 1,0)"),1.0)</f>
        <v>1</v>
      </c>
      <c r="U28" s="6">
        <f>IFERROR(__xludf.DUMMYFUNCTION("IF(REGEXMATCH('P1'!I28, ""Pesquisa|pesquisa""), 1,0)"),1.0)</f>
        <v>1</v>
      </c>
      <c r="V28" s="6">
        <f>IFERROR(__xludf.DUMMYFUNCTION("IF(REGEXMATCH('P1'!I28, ""Extensão|extensão""), 1,0)"),1.0)</f>
        <v>1</v>
      </c>
      <c r="W28" s="6">
        <f>IF('P1'!J28="Sim", 1,IF('P1'!J28="Não",0,2))</f>
        <v>2</v>
      </c>
      <c r="X28" s="6">
        <f>IF('P1'!K28="Sim", 1,IF('P1'!K28="Não",0,2))</f>
        <v>2</v>
      </c>
      <c r="Y28" s="6">
        <f>IF('P1'!L28="Sim", 1,IF('P1'!L28="Não",0,2))</f>
        <v>2</v>
      </c>
      <c r="Z28" s="6">
        <f>IF('P1'!M28="Sim", 1,IF('P1'!M28="Não",0,2))</f>
        <v>2</v>
      </c>
      <c r="AA28" s="6">
        <v>1.0</v>
      </c>
      <c r="AB28" s="9">
        <v>997.0</v>
      </c>
      <c r="AC28" s="6">
        <v>33.0</v>
      </c>
      <c r="AD28" s="6">
        <v>3304557.0</v>
      </c>
      <c r="AE28" s="6">
        <v>12.0</v>
      </c>
      <c r="AF28" s="10">
        <v>107716.0</v>
      </c>
      <c r="AG28" s="11">
        <v>107717.0</v>
      </c>
    </row>
    <row r="29">
      <c r="Q29" s="6"/>
      <c r="AG29" s="14"/>
    </row>
    <row r="30">
      <c r="AG30" s="14"/>
    </row>
    <row r="31">
      <c r="AG31" s="14"/>
    </row>
    <row r="32">
      <c r="AG32" s="14"/>
    </row>
    <row r="33">
      <c r="AG33" s="14"/>
    </row>
    <row r="34">
      <c r="AG34" s="14"/>
    </row>
    <row r="35">
      <c r="AG35" s="14"/>
    </row>
    <row r="36">
      <c r="AG36" s="14"/>
    </row>
    <row r="37">
      <c r="AG37" s="14"/>
    </row>
    <row r="38">
      <c r="AG38" s="14"/>
    </row>
    <row r="39">
      <c r="AG39" s="14"/>
    </row>
    <row r="40">
      <c r="AG40" s="14"/>
    </row>
    <row r="41">
      <c r="AG41" s="14"/>
    </row>
    <row r="42">
      <c r="AG42" s="14"/>
    </row>
    <row r="43">
      <c r="AG43" s="14"/>
    </row>
    <row r="44">
      <c r="AG44" s="14"/>
    </row>
    <row r="45">
      <c r="AG45" s="14"/>
    </row>
    <row r="46">
      <c r="AG46" s="14"/>
    </row>
    <row r="47">
      <c r="AG47" s="14"/>
    </row>
    <row r="48">
      <c r="AG48" s="14"/>
    </row>
    <row r="49">
      <c r="AG49" s="14"/>
    </row>
    <row r="50">
      <c r="AG50" s="14"/>
    </row>
    <row r="51">
      <c r="AG51" s="14"/>
    </row>
    <row r="52">
      <c r="AG52" s="14"/>
    </row>
    <row r="53">
      <c r="AG53" s="14"/>
    </row>
    <row r="54">
      <c r="AG54" s="14"/>
    </row>
    <row r="55">
      <c r="AG55" s="14"/>
    </row>
    <row r="56">
      <c r="AG56" s="14"/>
    </row>
    <row r="57">
      <c r="AG57" s="14"/>
    </row>
    <row r="58">
      <c r="AG58" s="14"/>
    </row>
    <row r="59">
      <c r="AG59" s="14"/>
    </row>
    <row r="60">
      <c r="AG60" s="14"/>
    </row>
    <row r="61">
      <c r="AG61" s="14"/>
    </row>
    <row r="62">
      <c r="AG62" s="14"/>
    </row>
    <row r="63">
      <c r="AG63" s="14"/>
    </row>
    <row r="64">
      <c r="AG64" s="14"/>
    </row>
    <row r="65">
      <c r="AG65" s="14"/>
    </row>
    <row r="66">
      <c r="AG66" s="14"/>
    </row>
    <row r="67">
      <c r="AG67" s="14"/>
    </row>
    <row r="68">
      <c r="AG68" s="14"/>
    </row>
    <row r="69">
      <c r="AG69" s="14"/>
    </row>
    <row r="70">
      <c r="AG70" s="14"/>
    </row>
    <row r="71">
      <c r="AG71" s="14"/>
    </row>
    <row r="72">
      <c r="AG72" s="14"/>
    </row>
    <row r="73">
      <c r="AG73" s="14"/>
    </row>
    <row r="74">
      <c r="AG74" s="14"/>
    </row>
    <row r="75">
      <c r="AG75" s="14"/>
    </row>
    <row r="76">
      <c r="AG76" s="14"/>
    </row>
    <row r="77">
      <c r="AG77" s="14"/>
    </row>
    <row r="78">
      <c r="AG78" s="14"/>
    </row>
    <row r="79">
      <c r="AG79" s="14"/>
    </row>
    <row r="80">
      <c r="AG80" s="14"/>
    </row>
    <row r="81">
      <c r="AG81" s="14"/>
    </row>
    <row r="82">
      <c r="AG82" s="14"/>
    </row>
    <row r="83">
      <c r="AG83" s="14"/>
    </row>
    <row r="84">
      <c r="AG84" s="14"/>
    </row>
    <row r="85">
      <c r="AG85" s="14"/>
    </row>
    <row r="86">
      <c r="AG86" s="14"/>
    </row>
    <row r="87">
      <c r="AG87" s="14"/>
    </row>
    <row r="88">
      <c r="AG88" s="14"/>
    </row>
    <row r="89">
      <c r="AG89" s="14"/>
    </row>
    <row r="90">
      <c r="AG90" s="14"/>
    </row>
    <row r="91">
      <c r="AG91" s="14"/>
    </row>
    <row r="92">
      <c r="AG92" s="14"/>
    </row>
    <row r="93">
      <c r="AG93" s="14"/>
    </row>
    <row r="94">
      <c r="AG94" s="14"/>
    </row>
    <row r="95">
      <c r="AG95" s="14"/>
    </row>
    <row r="96">
      <c r="AG96" s="14"/>
    </row>
    <row r="97">
      <c r="AG97" s="14"/>
    </row>
    <row r="98">
      <c r="AG98" s="14"/>
    </row>
    <row r="99">
      <c r="AG99" s="14"/>
    </row>
    <row r="100">
      <c r="AG100" s="14"/>
    </row>
    <row r="101">
      <c r="AG101" s="14"/>
    </row>
    <row r="102">
      <c r="AG102" s="14"/>
    </row>
    <row r="103">
      <c r="AG103" s="14"/>
    </row>
    <row r="104">
      <c r="AG104" s="14"/>
    </row>
    <row r="105">
      <c r="AG105" s="14"/>
    </row>
    <row r="106">
      <c r="AG106" s="14"/>
    </row>
    <row r="107">
      <c r="AG107" s="14"/>
    </row>
    <row r="108">
      <c r="AG108" s="14"/>
    </row>
    <row r="109">
      <c r="AG109" s="14"/>
    </row>
    <row r="110">
      <c r="AG110" s="14"/>
    </row>
    <row r="111">
      <c r="AG111" s="14"/>
    </row>
    <row r="112">
      <c r="AG112" s="14"/>
    </row>
    <row r="113">
      <c r="AG113" s="14"/>
    </row>
    <row r="114">
      <c r="AG114" s="14"/>
    </row>
    <row r="115">
      <c r="AG115" s="14"/>
    </row>
    <row r="116">
      <c r="AG116" s="14"/>
    </row>
    <row r="117">
      <c r="AG117" s="14"/>
    </row>
    <row r="118">
      <c r="AG118" s="14"/>
    </row>
    <row r="119">
      <c r="AG119" s="14"/>
    </row>
    <row r="120">
      <c r="AG120" s="14"/>
    </row>
    <row r="121">
      <c r="AG121" s="14"/>
    </row>
    <row r="122">
      <c r="AG122" s="14"/>
    </row>
    <row r="123">
      <c r="AG123" s="14"/>
    </row>
    <row r="124">
      <c r="AG124" s="14"/>
    </row>
    <row r="125">
      <c r="AG125" s="14"/>
    </row>
    <row r="126">
      <c r="AG126" s="14"/>
    </row>
    <row r="127">
      <c r="AG127" s="14"/>
    </row>
    <row r="128">
      <c r="AG128" s="14"/>
    </row>
    <row r="129">
      <c r="AG129" s="14"/>
    </row>
    <row r="130">
      <c r="AG130" s="14"/>
    </row>
    <row r="131">
      <c r="AG131" s="14"/>
    </row>
    <row r="132">
      <c r="AG132" s="14"/>
    </row>
    <row r="133">
      <c r="AG133" s="14"/>
    </row>
    <row r="134">
      <c r="AG134" s="14"/>
    </row>
    <row r="135">
      <c r="AG135" s="14"/>
    </row>
    <row r="136">
      <c r="AG136" s="14"/>
    </row>
    <row r="137">
      <c r="AG137" s="14"/>
    </row>
    <row r="138">
      <c r="AG138" s="14"/>
    </row>
    <row r="139">
      <c r="AG139" s="14"/>
    </row>
    <row r="140">
      <c r="AG140" s="14"/>
    </row>
    <row r="141">
      <c r="AG141" s="14"/>
    </row>
    <row r="142">
      <c r="AG142" s="14"/>
    </row>
    <row r="143">
      <c r="AG143" s="14"/>
    </row>
    <row r="144">
      <c r="AG144" s="14"/>
    </row>
    <row r="145">
      <c r="AG145" s="14"/>
    </row>
    <row r="146">
      <c r="AG146" s="14"/>
    </row>
    <row r="147">
      <c r="AG147" s="14"/>
    </row>
    <row r="148">
      <c r="AG148" s="14"/>
    </row>
    <row r="149">
      <c r="AG149" s="14"/>
    </row>
    <row r="150">
      <c r="AG150" s="14"/>
    </row>
    <row r="151">
      <c r="AG151" s="14"/>
    </row>
    <row r="152">
      <c r="AG152" s="14"/>
    </row>
    <row r="153">
      <c r="AG153" s="14"/>
    </row>
    <row r="154">
      <c r="AG154" s="14"/>
    </row>
    <row r="155">
      <c r="AG155" s="14"/>
    </row>
    <row r="156">
      <c r="AG156" s="14"/>
    </row>
    <row r="157">
      <c r="AG157" s="14"/>
    </row>
    <row r="158">
      <c r="AG158" s="14"/>
    </row>
    <row r="159">
      <c r="AG159" s="14"/>
    </row>
    <row r="160">
      <c r="AG160" s="14"/>
    </row>
    <row r="161">
      <c r="AG161" s="14"/>
    </row>
    <row r="162">
      <c r="AG162" s="14"/>
    </row>
    <row r="163">
      <c r="AG163" s="14"/>
    </row>
    <row r="164">
      <c r="AG164" s="14"/>
    </row>
    <row r="165">
      <c r="AG165" s="14"/>
    </row>
    <row r="166">
      <c r="AG166" s="14"/>
    </row>
    <row r="167">
      <c r="AG167" s="14"/>
    </row>
    <row r="168">
      <c r="AG168" s="14"/>
    </row>
    <row r="169">
      <c r="AG169" s="14"/>
    </row>
    <row r="170">
      <c r="AG170" s="14"/>
    </row>
    <row r="171">
      <c r="AG171" s="14"/>
    </row>
    <row r="172">
      <c r="AG172" s="14"/>
    </row>
    <row r="173">
      <c r="AG173" s="14"/>
    </row>
    <row r="174">
      <c r="AG174" s="14"/>
    </row>
    <row r="175">
      <c r="AG175" s="14"/>
    </row>
    <row r="176">
      <c r="AG176" s="14"/>
    </row>
    <row r="177">
      <c r="AG177" s="14"/>
    </row>
    <row r="178">
      <c r="AG178" s="14"/>
    </row>
    <row r="179">
      <c r="AG179" s="14"/>
    </row>
    <row r="180">
      <c r="AG180" s="14"/>
    </row>
    <row r="181">
      <c r="AG181" s="14"/>
    </row>
    <row r="182">
      <c r="AG182" s="14"/>
    </row>
    <row r="183">
      <c r="AG183" s="14"/>
    </row>
    <row r="184">
      <c r="AG184" s="14"/>
    </row>
    <row r="185">
      <c r="AG185" s="14"/>
    </row>
    <row r="186">
      <c r="AG186" s="14"/>
    </row>
    <row r="187">
      <c r="AG187" s="14"/>
    </row>
    <row r="188">
      <c r="AG188" s="14"/>
    </row>
    <row r="189">
      <c r="AG189" s="14"/>
    </row>
    <row r="190">
      <c r="AG190" s="14"/>
    </row>
    <row r="191">
      <c r="AG191" s="14"/>
    </row>
    <row r="192">
      <c r="AG192" s="14"/>
    </row>
    <row r="193">
      <c r="AG193" s="14"/>
    </row>
    <row r="194">
      <c r="AG194" s="14"/>
    </row>
    <row r="195">
      <c r="AG195" s="14"/>
    </row>
    <row r="196">
      <c r="AG196" s="14"/>
    </row>
    <row r="197">
      <c r="AG197" s="14"/>
    </row>
    <row r="198">
      <c r="AG198" s="14"/>
    </row>
    <row r="199">
      <c r="AG199" s="14"/>
    </row>
    <row r="200">
      <c r="AG200" s="14"/>
    </row>
    <row r="201">
      <c r="AG201" s="14"/>
    </row>
    <row r="202">
      <c r="AG202" s="14"/>
    </row>
    <row r="203">
      <c r="AG203" s="14"/>
    </row>
    <row r="204">
      <c r="AG204" s="14"/>
    </row>
    <row r="205">
      <c r="AG205" s="14"/>
    </row>
    <row r="206">
      <c r="AG206" s="14"/>
    </row>
    <row r="207">
      <c r="AG207" s="14"/>
    </row>
    <row r="208">
      <c r="AG208" s="14"/>
    </row>
    <row r="209">
      <c r="AG209" s="14"/>
    </row>
    <row r="210">
      <c r="AG210" s="14"/>
    </row>
    <row r="211">
      <c r="AG211" s="14"/>
    </row>
    <row r="212">
      <c r="AG212" s="14"/>
    </row>
    <row r="213">
      <c r="AG213" s="14"/>
    </row>
    <row r="214">
      <c r="AG214" s="14"/>
    </row>
    <row r="215">
      <c r="AG215" s="14"/>
    </row>
    <row r="216">
      <c r="AG216" s="14"/>
    </row>
    <row r="217">
      <c r="AG217" s="14"/>
    </row>
    <row r="218">
      <c r="AG218" s="14"/>
    </row>
    <row r="219">
      <c r="AG219" s="14"/>
    </row>
    <row r="220">
      <c r="AG220" s="14"/>
    </row>
    <row r="221">
      <c r="AG221" s="14"/>
    </row>
    <row r="222">
      <c r="AG222" s="14"/>
    </row>
    <row r="223">
      <c r="AG223" s="14"/>
    </row>
    <row r="224">
      <c r="AG224" s="14"/>
    </row>
    <row r="225">
      <c r="AG225" s="14"/>
    </row>
    <row r="226">
      <c r="AG226" s="14"/>
    </row>
    <row r="227">
      <c r="AG227" s="14"/>
    </row>
    <row r="228">
      <c r="AG228" s="14"/>
    </row>
    <row r="229">
      <c r="AG229" s="14"/>
    </row>
    <row r="230">
      <c r="AG230" s="14"/>
    </row>
    <row r="231">
      <c r="AG231" s="14"/>
    </row>
    <row r="232">
      <c r="AG232" s="14"/>
    </row>
    <row r="233">
      <c r="AG233" s="14"/>
    </row>
    <row r="234">
      <c r="AG234" s="14"/>
    </row>
    <row r="235">
      <c r="AG235" s="14"/>
    </row>
    <row r="236">
      <c r="AG236" s="14"/>
    </row>
    <row r="237">
      <c r="AG237" s="14"/>
    </row>
    <row r="238">
      <c r="AG238" s="14"/>
    </row>
    <row r="239">
      <c r="AG239" s="14"/>
    </row>
    <row r="240">
      <c r="AG240" s="14"/>
    </row>
    <row r="241">
      <c r="AG241" s="14"/>
    </row>
    <row r="242">
      <c r="AG242" s="14"/>
    </row>
    <row r="243">
      <c r="AG243" s="14"/>
    </row>
    <row r="244">
      <c r="AG244" s="14"/>
    </row>
    <row r="245">
      <c r="AG245" s="14"/>
    </row>
    <row r="246">
      <c r="AG246" s="14"/>
    </row>
    <row r="247">
      <c r="AG247" s="14"/>
    </row>
    <row r="248">
      <c r="AG248" s="14"/>
    </row>
    <row r="249">
      <c r="AG249" s="14"/>
    </row>
    <row r="250">
      <c r="AG250" s="14"/>
    </row>
    <row r="251">
      <c r="AG251" s="14"/>
    </row>
    <row r="252">
      <c r="AG252" s="14"/>
    </row>
    <row r="253">
      <c r="AG253" s="14"/>
    </row>
    <row r="254">
      <c r="AG254" s="14"/>
    </row>
    <row r="255">
      <c r="AG255" s="14"/>
    </row>
    <row r="256">
      <c r="AG256" s="14"/>
    </row>
    <row r="257">
      <c r="AG257" s="14"/>
    </row>
    <row r="258">
      <c r="AG258" s="14"/>
    </row>
    <row r="259">
      <c r="AG259" s="14"/>
    </row>
    <row r="260">
      <c r="AG260" s="14"/>
    </row>
    <row r="261">
      <c r="AG261" s="14"/>
    </row>
    <row r="262">
      <c r="AG262" s="14"/>
    </row>
    <row r="263">
      <c r="AG263" s="14"/>
    </row>
    <row r="264">
      <c r="AG264" s="14"/>
    </row>
    <row r="265">
      <c r="AG265" s="14"/>
    </row>
    <row r="266">
      <c r="AG266" s="14"/>
    </row>
    <row r="267">
      <c r="AG267" s="14"/>
    </row>
    <row r="268">
      <c r="AG268" s="14"/>
    </row>
    <row r="269">
      <c r="AG269" s="14"/>
    </row>
    <row r="270">
      <c r="AG270" s="14"/>
    </row>
    <row r="271">
      <c r="AG271" s="14"/>
    </row>
    <row r="272">
      <c r="AG272" s="14"/>
    </row>
    <row r="273">
      <c r="AG273" s="14"/>
    </row>
    <row r="274">
      <c r="AG274" s="14"/>
    </row>
    <row r="275">
      <c r="AG275" s="14"/>
    </row>
    <row r="276">
      <c r="AG276" s="14"/>
    </row>
    <row r="277">
      <c r="AG277" s="14"/>
    </row>
    <row r="278">
      <c r="AG278" s="14"/>
    </row>
    <row r="279">
      <c r="AG279" s="14"/>
    </row>
    <row r="280">
      <c r="AG280" s="14"/>
    </row>
    <row r="281">
      <c r="AG281" s="14"/>
    </row>
    <row r="282">
      <c r="AG282" s="14"/>
    </row>
    <row r="283">
      <c r="AG283" s="14"/>
    </row>
    <row r="284">
      <c r="AG284" s="14"/>
    </row>
    <row r="285">
      <c r="AG285" s="14"/>
    </row>
    <row r="286">
      <c r="AG286" s="14"/>
    </row>
    <row r="287">
      <c r="AG287" s="14"/>
    </row>
    <row r="288">
      <c r="AG288" s="14"/>
    </row>
    <row r="289">
      <c r="AG289" s="14"/>
    </row>
    <row r="290">
      <c r="AG290" s="14"/>
    </row>
    <row r="291">
      <c r="AG291" s="14"/>
    </row>
    <row r="292">
      <c r="AG292" s="14"/>
    </row>
    <row r="293">
      <c r="AG293" s="14"/>
    </row>
    <row r="294">
      <c r="AG294" s="14"/>
    </row>
    <row r="295">
      <c r="AG295" s="14"/>
    </row>
    <row r="296">
      <c r="AG296" s="14"/>
    </row>
    <row r="297">
      <c r="AG297" s="14"/>
    </row>
    <row r="298">
      <c r="AG298" s="14"/>
    </row>
    <row r="299">
      <c r="AG299" s="14"/>
    </row>
    <row r="300">
      <c r="AG300" s="14"/>
    </row>
    <row r="301">
      <c r="AG301" s="14"/>
    </row>
    <row r="302">
      <c r="AG302" s="14"/>
    </row>
    <row r="303">
      <c r="AG303" s="14"/>
    </row>
    <row r="304">
      <c r="AG304" s="14"/>
    </row>
    <row r="305">
      <c r="AG305" s="14"/>
    </row>
    <row r="306">
      <c r="AG306" s="14"/>
    </row>
    <row r="307">
      <c r="AG307" s="14"/>
    </row>
    <row r="308">
      <c r="AG308" s="14"/>
    </row>
    <row r="309">
      <c r="AG309" s="14"/>
    </row>
    <row r="310">
      <c r="AG310" s="14"/>
    </row>
    <row r="311">
      <c r="AG311" s="14"/>
    </row>
    <row r="312">
      <c r="AG312" s="14"/>
    </row>
    <row r="313">
      <c r="AG313" s="14"/>
    </row>
    <row r="314">
      <c r="AG314" s="14"/>
    </row>
    <row r="315">
      <c r="AG315" s="14"/>
    </row>
    <row r="316">
      <c r="AG316" s="14"/>
    </row>
    <row r="317">
      <c r="AG317" s="14"/>
    </row>
    <row r="318">
      <c r="AG318" s="14"/>
    </row>
    <row r="319">
      <c r="AG319" s="14"/>
    </row>
    <row r="320">
      <c r="AG320" s="14"/>
    </row>
    <row r="321">
      <c r="AG321" s="14"/>
    </row>
    <row r="322">
      <c r="AG322" s="14"/>
    </row>
    <row r="323">
      <c r="AG323" s="14"/>
    </row>
    <row r="324">
      <c r="AG324" s="14"/>
    </row>
    <row r="325">
      <c r="AG325" s="14"/>
    </row>
    <row r="326">
      <c r="AG326" s="14"/>
    </row>
    <row r="327">
      <c r="AG327" s="14"/>
    </row>
    <row r="328">
      <c r="AG328" s="14"/>
    </row>
    <row r="329">
      <c r="AG329" s="14"/>
    </row>
    <row r="330">
      <c r="AG330" s="14"/>
    </row>
    <row r="331">
      <c r="AG331" s="14"/>
    </row>
    <row r="332">
      <c r="AG332" s="14"/>
    </row>
    <row r="333">
      <c r="AG333" s="14"/>
    </row>
    <row r="334">
      <c r="AG334" s="14"/>
    </row>
    <row r="335">
      <c r="AG335" s="14"/>
    </row>
    <row r="336">
      <c r="AG336" s="14"/>
    </row>
    <row r="337">
      <c r="AG337" s="14"/>
    </row>
    <row r="338">
      <c r="AG338" s="14"/>
    </row>
    <row r="339">
      <c r="AG339" s="14"/>
    </row>
    <row r="340">
      <c r="AG340" s="14"/>
    </row>
    <row r="341">
      <c r="AG341" s="14"/>
    </row>
    <row r="342">
      <c r="AG342" s="14"/>
    </row>
    <row r="343">
      <c r="AG343" s="14"/>
    </row>
    <row r="344">
      <c r="AG344" s="14"/>
    </row>
    <row r="345">
      <c r="AG345" s="14"/>
    </row>
    <row r="346">
      <c r="AG346" s="14"/>
    </row>
    <row r="347">
      <c r="AG347" s="14"/>
    </row>
    <row r="348">
      <c r="AG348" s="14"/>
    </row>
    <row r="349">
      <c r="AG349" s="14"/>
    </row>
    <row r="350">
      <c r="AG350" s="14"/>
    </row>
    <row r="351">
      <c r="AG351" s="14"/>
    </row>
    <row r="352">
      <c r="AG352" s="14"/>
    </row>
    <row r="353">
      <c r="AG353" s="14"/>
    </row>
    <row r="354">
      <c r="AG354" s="14"/>
    </row>
    <row r="355">
      <c r="AG355" s="14"/>
    </row>
    <row r="356">
      <c r="AG356" s="14"/>
    </row>
    <row r="357">
      <c r="AG357" s="14"/>
    </row>
    <row r="358">
      <c r="AG358" s="14"/>
    </row>
    <row r="359">
      <c r="AG359" s="14"/>
    </row>
    <row r="360">
      <c r="AG360" s="14"/>
    </row>
    <row r="361">
      <c r="AG361" s="14"/>
    </row>
    <row r="362">
      <c r="AG362" s="14"/>
    </row>
    <row r="363">
      <c r="AG363" s="14"/>
    </row>
    <row r="364">
      <c r="AG364" s="14"/>
    </row>
    <row r="365">
      <c r="AG365" s="14"/>
    </row>
    <row r="366">
      <c r="AG366" s="14"/>
    </row>
    <row r="367">
      <c r="AG367" s="14"/>
    </row>
    <row r="368">
      <c r="AG368" s="14"/>
    </row>
    <row r="369">
      <c r="AG369" s="14"/>
    </row>
    <row r="370">
      <c r="AG370" s="14"/>
    </row>
    <row r="371">
      <c r="AG371" s="14"/>
    </row>
    <row r="372">
      <c r="AG372" s="14"/>
    </row>
    <row r="373">
      <c r="AG373" s="14"/>
    </row>
    <row r="374">
      <c r="AG374" s="14"/>
    </row>
    <row r="375">
      <c r="AG375" s="14"/>
    </row>
    <row r="376">
      <c r="AG376" s="14"/>
    </row>
    <row r="377">
      <c r="AG377" s="14"/>
    </row>
    <row r="378">
      <c r="AG378" s="14"/>
    </row>
    <row r="379">
      <c r="AG379" s="14"/>
    </row>
    <row r="380">
      <c r="AG380" s="14"/>
    </row>
    <row r="381">
      <c r="AG381" s="14"/>
    </row>
    <row r="382">
      <c r="AG382" s="14"/>
    </row>
    <row r="383">
      <c r="AG383" s="14"/>
    </row>
    <row r="384">
      <c r="AG384" s="14"/>
    </row>
    <row r="385">
      <c r="AG385" s="14"/>
    </row>
    <row r="386">
      <c r="AG386" s="14"/>
    </row>
    <row r="387">
      <c r="AG387" s="14"/>
    </row>
    <row r="388">
      <c r="AG388" s="14"/>
    </row>
    <row r="389">
      <c r="AG389" s="14"/>
    </row>
    <row r="390">
      <c r="AG390" s="14"/>
    </row>
    <row r="391">
      <c r="AG391" s="14"/>
    </row>
    <row r="392">
      <c r="AG392" s="14"/>
    </row>
    <row r="393">
      <c r="AG393" s="14"/>
    </row>
    <row r="394">
      <c r="AG394" s="14"/>
    </row>
    <row r="395">
      <c r="AG395" s="14"/>
    </row>
    <row r="396">
      <c r="AG396" s="14"/>
    </row>
    <row r="397">
      <c r="AG397" s="14"/>
    </row>
    <row r="398">
      <c r="AG398" s="14"/>
    </row>
    <row r="399">
      <c r="AG399" s="14"/>
    </row>
    <row r="400">
      <c r="AG400" s="14"/>
    </row>
    <row r="401">
      <c r="AG401" s="14"/>
    </row>
    <row r="402">
      <c r="AG402" s="14"/>
    </row>
    <row r="403">
      <c r="AG403" s="14"/>
    </row>
    <row r="404">
      <c r="AG404" s="14"/>
    </row>
    <row r="405">
      <c r="AG405" s="14"/>
    </row>
    <row r="406">
      <c r="AG406" s="14"/>
    </row>
    <row r="407">
      <c r="AG407" s="14"/>
    </row>
    <row r="408">
      <c r="AG408" s="14"/>
    </row>
    <row r="409">
      <c r="AG409" s="14"/>
    </row>
    <row r="410">
      <c r="AG410" s="14"/>
    </row>
    <row r="411">
      <c r="AG411" s="14"/>
    </row>
    <row r="412">
      <c r="AG412" s="14"/>
    </row>
    <row r="413">
      <c r="AG413" s="14"/>
    </row>
    <row r="414">
      <c r="AG414" s="14"/>
    </row>
    <row r="415">
      <c r="AG415" s="14"/>
    </row>
    <row r="416">
      <c r="AG416" s="14"/>
    </row>
    <row r="417">
      <c r="AG417" s="14"/>
    </row>
    <row r="418">
      <c r="AG418" s="14"/>
    </row>
    <row r="419">
      <c r="AG419" s="14"/>
    </row>
    <row r="420">
      <c r="AG420" s="14"/>
    </row>
    <row r="421">
      <c r="AG421" s="14"/>
    </row>
    <row r="422">
      <c r="AG422" s="14"/>
    </row>
    <row r="423">
      <c r="AG423" s="14"/>
    </row>
    <row r="424">
      <c r="AG424" s="14"/>
    </row>
    <row r="425">
      <c r="AG425" s="14"/>
    </row>
    <row r="426">
      <c r="AG426" s="14"/>
    </row>
    <row r="427">
      <c r="AG427" s="14"/>
    </row>
    <row r="428">
      <c r="AG428" s="14"/>
    </row>
    <row r="429">
      <c r="AG429" s="14"/>
    </row>
    <row r="430">
      <c r="AG430" s="14"/>
    </row>
    <row r="431">
      <c r="AG431" s="14"/>
    </row>
    <row r="432">
      <c r="AG432" s="14"/>
    </row>
    <row r="433">
      <c r="AG433" s="14"/>
    </row>
    <row r="434">
      <c r="AG434" s="14"/>
    </row>
    <row r="435">
      <c r="AG435" s="14"/>
    </row>
    <row r="436">
      <c r="AG436" s="14"/>
    </row>
    <row r="437">
      <c r="AG437" s="14"/>
    </row>
    <row r="438">
      <c r="AG438" s="14"/>
    </row>
    <row r="439">
      <c r="AG439" s="14"/>
    </row>
    <row r="440">
      <c r="AG440" s="14"/>
    </row>
    <row r="441">
      <c r="AG441" s="14"/>
    </row>
    <row r="442">
      <c r="AG442" s="14"/>
    </row>
    <row r="443">
      <c r="AG443" s="14"/>
    </row>
    <row r="444">
      <c r="AG444" s="14"/>
    </row>
    <row r="445">
      <c r="AG445" s="14"/>
    </row>
    <row r="446">
      <c r="AG446" s="14"/>
    </row>
    <row r="447">
      <c r="AG447" s="14"/>
    </row>
    <row r="448">
      <c r="AG448" s="14"/>
    </row>
    <row r="449">
      <c r="AG449" s="14"/>
    </row>
    <row r="450">
      <c r="AG450" s="14"/>
    </row>
    <row r="451">
      <c r="AG451" s="14"/>
    </row>
    <row r="452">
      <c r="AG452" s="14"/>
    </row>
    <row r="453">
      <c r="AG453" s="14"/>
    </row>
    <row r="454">
      <c r="AG454" s="14"/>
    </row>
    <row r="455">
      <c r="AG455" s="14"/>
    </row>
    <row r="456">
      <c r="AG456" s="14"/>
    </row>
    <row r="457">
      <c r="AG457" s="14"/>
    </row>
    <row r="458">
      <c r="AG458" s="14"/>
    </row>
    <row r="459">
      <c r="AG459" s="14"/>
    </row>
    <row r="460">
      <c r="AG460" s="14"/>
    </row>
    <row r="461">
      <c r="AG461" s="14"/>
    </row>
    <row r="462">
      <c r="AG462" s="14"/>
    </row>
    <row r="463">
      <c r="AG463" s="14"/>
    </row>
    <row r="464">
      <c r="AG464" s="14"/>
    </row>
    <row r="465">
      <c r="AG465" s="14"/>
    </row>
    <row r="466">
      <c r="AG466" s="14"/>
    </row>
    <row r="467">
      <c r="AG467" s="14"/>
    </row>
    <row r="468">
      <c r="AG468" s="14"/>
    </row>
    <row r="469">
      <c r="AG469" s="14"/>
    </row>
    <row r="470">
      <c r="AG470" s="14"/>
    </row>
    <row r="471">
      <c r="AG471" s="14"/>
    </row>
    <row r="472">
      <c r="AG472" s="14"/>
    </row>
    <row r="473">
      <c r="AG473" s="14"/>
    </row>
    <row r="474">
      <c r="AG474" s="14"/>
    </row>
    <row r="475">
      <c r="AG475" s="14"/>
    </row>
    <row r="476">
      <c r="AG476" s="14"/>
    </row>
    <row r="477">
      <c r="AG477" s="14"/>
    </row>
    <row r="478">
      <c r="AG478" s="14"/>
    </row>
    <row r="479">
      <c r="AG479" s="14"/>
    </row>
    <row r="480">
      <c r="AG480" s="14"/>
    </row>
    <row r="481">
      <c r="AG481" s="14"/>
    </row>
    <row r="482">
      <c r="AG482" s="14"/>
    </row>
    <row r="483">
      <c r="AG483" s="14"/>
    </row>
    <row r="484">
      <c r="AG484" s="14"/>
    </row>
    <row r="485">
      <c r="AG485" s="14"/>
    </row>
    <row r="486">
      <c r="AG486" s="14"/>
    </row>
    <row r="487">
      <c r="AG487" s="14"/>
    </row>
    <row r="488">
      <c r="AG488" s="14"/>
    </row>
    <row r="489">
      <c r="AG489" s="14"/>
    </row>
    <row r="490">
      <c r="AG490" s="14"/>
    </row>
    <row r="491">
      <c r="AG491" s="14"/>
    </row>
    <row r="492">
      <c r="AG492" s="14"/>
    </row>
    <row r="493">
      <c r="AG493" s="14"/>
    </row>
    <row r="494">
      <c r="AG494" s="14"/>
    </row>
    <row r="495">
      <c r="AG495" s="14"/>
    </row>
    <row r="496">
      <c r="AG496" s="14"/>
    </row>
    <row r="497">
      <c r="AG497" s="14"/>
    </row>
    <row r="498">
      <c r="AG498" s="14"/>
    </row>
    <row r="499">
      <c r="AG499" s="14"/>
    </row>
    <row r="500">
      <c r="AG500" s="14"/>
    </row>
    <row r="501">
      <c r="AG501" s="14"/>
    </row>
    <row r="502">
      <c r="AG502" s="14"/>
    </row>
    <row r="503">
      <c r="AG503" s="14"/>
    </row>
    <row r="504">
      <c r="AG504" s="14"/>
    </row>
    <row r="505">
      <c r="AG505" s="14"/>
    </row>
    <row r="506">
      <c r="AG506" s="14"/>
    </row>
    <row r="507">
      <c r="AG507" s="14"/>
    </row>
    <row r="508">
      <c r="AG508" s="14"/>
    </row>
    <row r="509">
      <c r="AG509" s="14"/>
    </row>
    <row r="510">
      <c r="AG510" s="14"/>
    </row>
    <row r="511">
      <c r="AG511" s="14"/>
    </row>
    <row r="512">
      <c r="AG512" s="14"/>
    </row>
    <row r="513">
      <c r="AG513" s="14"/>
    </row>
    <row r="514">
      <c r="AG514" s="14"/>
    </row>
    <row r="515">
      <c r="AG515" s="14"/>
    </row>
    <row r="516">
      <c r="AG516" s="14"/>
    </row>
    <row r="517">
      <c r="AG517" s="14"/>
    </row>
    <row r="518">
      <c r="AG518" s="14"/>
    </row>
    <row r="519">
      <c r="AG519" s="14"/>
    </row>
    <row r="520">
      <c r="AG520" s="14"/>
    </row>
    <row r="521">
      <c r="AG521" s="14"/>
    </row>
    <row r="522">
      <c r="AG522" s="14"/>
    </row>
    <row r="523">
      <c r="AG523" s="14"/>
    </row>
    <row r="524">
      <c r="AG524" s="14"/>
    </row>
    <row r="525">
      <c r="AG525" s="14"/>
    </row>
    <row r="526">
      <c r="AG526" s="14"/>
    </row>
    <row r="527">
      <c r="AG527" s="14"/>
    </row>
    <row r="528">
      <c r="AG528" s="14"/>
    </row>
    <row r="529">
      <c r="AG529" s="14"/>
    </row>
    <row r="530">
      <c r="AG530" s="14"/>
    </row>
    <row r="531">
      <c r="AG531" s="14"/>
    </row>
    <row r="532">
      <c r="AG532" s="14"/>
    </row>
    <row r="533">
      <c r="AG533" s="14"/>
    </row>
    <row r="534">
      <c r="AG534" s="14"/>
    </row>
    <row r="535">
      <c r="AG535" s="14"/>
    </row>
    <row r="536">
      <c r="AG536" s="14"/>
    </row>
    <row r="537">
      <c r="AG537" s="14"/>
    </row>
    <row r="538">
      <c r="AG538" s="14"/>
    </row>
    <row r="539">
      <c r="AG539" s="14"/>
    </row>
    <row r="540">
      <c r="AG540" s="14"/>
    </row>
    <row r="541">
      <c r="AG541" s="14"/>
    </row>
    <row r="542">
      <c r="AG542" s="14"/>
    </row>
    <row r="543">
      <c r="AG543" s="14"/>
    </row>
    <row r="544">
      <c r="AG544" s="14"/>
    </row>
    <row r="545">
      <c r="AG545" s="14"/>
    </row>
    <row r="546">
      <c r="AG546" s="14"/>
    </row>
    <row r="547">
      <c r="AG547" s="14"/>
    </row>
    <row r="548">
      <c r="AG548" s="14"/>
    </row>
    <row r="549">
      <c r="AG549" s="14"/>
    </row>
    <row r="550">
      <c r="AG550" s="14"/>
    </row>
    <row r="551">
      <c r="AG551" s="14"/>
    </row>
    <row r="552">
      <c r="AG552" s="14"/>
    </row>
    <row r="553">
      <c r="AG553" s="14"/>
    </row>
    <row r="554">
      <c r="AG554" s="14"/>
    </row>
    <row r="555">
      <c r="AG555" s="14"/>
    </row>
    <row r="556">
      <c r="AG556" s="14"/>
    </row>
    <row r="557">
      <c r="AG557" s="14"/>
    </row>
    <row r="558">
      <c r="AG558" s="14"/>
    </row>
    <row r="559">
      <c r="AG559" s="14"/>
    </row>
    <row r="560">
      <c r="AG560" s="14"/>
    </row>
    <row r="561">
      <c r="AG561" s="14"/>
    </row>
    <row r="562">
      <c r="AG562" s="14"/>
    </row>
    <row r="563">
      <c r="AG563" s="14"/>
    </row>
    <row r="564">
      <c r="AG564" s="14"/>
    </row>
    <row r="565">
      <c r="AG565" s="14"/>
    </row>
    <row r="566">
      <c r="AG566" s="14"/>
    </row>
    <row r="567">
      <c r="AG567" s="14"/>
    </row>
    <row r="568">
      <c r="AG568" s="14"/>
    </row>
    <row r="569">
      <c r="AG569" s="14"/>
    </row>
    <row r="570">
      <c r="AG570" s="14"/>
    </row>
    <row r="571">
      <c r="AG571" s="14"/>
    </row>
    <row r="572">
      <c r="AG572" s="14"/>
    </row>
    <row r="573">
      <c r="AG573" s="14"/>
    </row>
    <row r="574">
      <c r="AG574" s="14"/>
    </row>
    <row r="575">
      <c r="AG575" s="14"/>
    </row>
    <row r="576">
      <c r="AG576" s="14"/>
    </row>
    <row r="577">
      <c r="AG577" s="14"/>
    </row>
    <row r="578">
      <c r="AG578" s="14"/>
    </row>
    <row r="579">
      <c r="AG579" s="14"/>
    </row>
    <row r="580">
      <c r="AG580" s="14"/>
    </row>
    <row r="581">
      <c r="AG581" s="14"/>
    </row>
    <row r="582">
      <c r="AG582" s="14"/>
    </row>
    <row r="583">
      <c r="AG583" s="14"/>
    </row>
    <row r="584">
      <c r="AG584" s="14"/>
    </row>
    <row r="585">
      <c r="AG585" s="14"/>
    </row>
    <row r="586">
      <c r="AG586" s="14"/>
    </row>
    <row r="587">
      <c r="AG587" s="14"/>
    </row>
    <row r="588">
      <c r="AG588" s="14"/>
    </row>
    <row r="589">
      <c r="AG589" s="14"/>
    </row>
    <row r="590">
      <c r="AG590" s="14"/>
    </row>
    <row r="591">
      <c r="AG591" s="14"/>
    </row>
    <row r="592">
      <c r="AG592" s="14"/>
    </row>
    <row r="593">
      <c r="AG593" s="14"/>
    </row>
    <row r="594">
      <c r="AG594" s="14"/>
    </row>
    <row r="595">
      <c r="AG595" s="14"/>
    </row>
    <row r="596">
      <c r="AG596" s="14"/>
    </row>
    <row r="597">
      <c r="AG597" s="14"/>
    </row>
    <row r="598">
      <c r="AG598" s="14"/>
    </row>
    <row r="599">
      <c r="AG599" s="14"/>
    </row>
    <row r="600">
      <c r="AG600" s="14"/>
    </row>
    <row r="601">
      <c r="AG601" s="14"/>
    </row>
    <row r="602">
      <c r="AG602" s="14"/>
    </row>
    <row r="603">
      <c r="AG603" s="14"/>
    </row>
    <row r="604">
      <c r="AG604" s="14"/>
    </row>
    <row r="605">
      <c r="AG605" s="14"/>
    </row>
    <row r="606">
      <c r="AG606" s="14"/>
    </row>
    <row r="607">
      <c r="AG607" s="14"/>
    </row>
    <row r="608">
      <c r="AG608" s="14"/>
    </row>
    <row r="609">
      <c r="AG609" s="14"/>
    </row>
    <row r="610">
      <c r="AG610" s="14"/>
    </row>
    <row r="611">
      <c r="AG611" s="14"/>
    </row>
    <row r="612">
      <c r="AG612" s="14"/>
    </row>
    <row r="613">
      <c r="AG613" s="14"/>
    </row>
    <row r="614">
      <c r="AG614" s="14"/>
    </row>
    <row r="615">
      <c r="AG615" s="14"/>
    </row>
    <row r="616">
      <c r="AG616" s="14"/>
    </row>
    <row r="617">
      <c r="AG617" s="14"/>
    </row>
    <row r="618">
      <c r="AG618" s="14"/>
    </row>
    <row r="619">
      <c r="AG619" s="14"/>
    </row>
    <row r="620">
      <c r="AG620" s="14"/>
    </row>
    <row r="621">
      <c r="AG621" s="14"/>
    </row>
    <row r="622">
      <c r="AG622" s="14"/>
    </row>
    <row r="623">
      <c r="AG623" s="14"/>
    </row>
    <row r="624">
      <c r="AG624" s="14"/>
    </row>
    <row r="625">
      <c r="AG625" s="14"/>
    </row>
    <row r="626">
      <c r="AG626" s="14"/>
    </row>
    <row r="627">
      <c r="AG627" s="14"/>
    </row>
    <row r="628">
      <c r="AG628" s="14"/>
    </row>
    <row r="629">
      <c r="AG629" s="14"/>
    </row>
    <row r="630">
      <c r="AG630" s="14"/>
    </row>
    <row r="631">
      <c r="AG631" s="14"/>
    </row>
    <row r="632">
      <c r="AG632" s="14"/>
    </row>
    <row r="633">
      <c r="AG633" s="14"/>
    </row>
    <row r="634">
      <c r="AG634" s="14"/>
    </row>
    <row r="635">
      <c r="AG635" s="14"/>
    </row>
    <row r="636">
      <c r="AG636" s="14"/>
    </row>
    <row r="637">
      <c r="AG637" s="14"/>
    </row>
    <row r="638">
      <c r="AG638" s="14"/>
    </row>
    <row r="639">
      <c r="AG639" s="14"/>
    </row>
    <row r="640">
      <c r="AG640" s="14"/>
    </row>
    <row r="641">
      <c r="AG641" s="14"/>
    </row>
    <row r="642">
      <c r="AG642" s="14"/>
    </row>
    <row r="643">
      <c r="AG643" s="14"/>
    </row>
    <row r="644">
      <c r="AG644" s="14"/>
    </row>
    <row r="645">
      <c r="AG645" s="14"/>
    </row>
    <row r="646">
      <c r="AG646" s="14"/>
    </row>
    <row r="647">
      <c r="AG647" s="14"/>
    </row>
    <row r="648">
      <c r="AG648" s="14"/>
    </row>
    <row r="649">
      <c r="AG649" s="14"/>
    </row>
    <row r="650">
      <c r="AG650" s="14"/>
    </row>
    <row r="651">
      <c r="AG651" s="14"/>
    </row>
    <row r="652">
      <c r="AG652" s="14"/>
    </row>
    <row r="653">
      <c r="AG653" s="14"/>
    </row>
    <row r="654">
      <c r="AG654" s="14"/>
    </row>
    <row r="655">
      <c r="AG655" s="14"/>
    </row>
    <row r="656">
      <c r="AG656" s="14"/>
    </row>
    <row r="657">
      <c r="AG657" s="14"/>
    </row>
    <row r="658">
      <c r="AG658" s="14"/>
    </row>
    <row r="659">
      <c r="AG659" s="14"/>
    </row>
    <row r="660">
      <c r="AG660" s="14"/>
    </row>
    <row r="661">
      <c r="AG661" s="14"/>
    </row>
    <row r="662">
      <c r="AG662" s="14"/>
    </row>
    <row r="663">
      <c r="AG663" s="14"/>
    </row>
    <row r="664">
      <c r="AG664" s="14"/>
    </row>
    <row r="665">
      <c r="AG665" s="14"/>
    </row>
    <row r="666">
      <c r="AG666" s="14"/>
    </row>
    <row r="667">
      <c r="AG667" s="14"/>
    </row>
    <row r="668">
      <c r="AG668" s="14"/>
    </row>
    <row r="669">
      <c r="AG669" s="14"/>
    </row>
    <row r="670">
      <c r="AG670" s="14"/>
    </row>
    <row r="671">
      <c r="AG671" s="14"/>
    </row>
    <row r="672">
      <c r="AG672" s="14"/>
    </row>
    <row r="673">
      <c r="AG673" s="14"/>
    </row>
    <row r="674">
      <c r="AG674" s="14"/>
    </row>
    <row r="675">
      <c r="AG675" s="14"/>
    </row>
    <row r="676">
      <c r="AG676" s="14"/>
    </row>
    <row r="677">
      <c r="AG677" s="14"/>
    </row>
    <row r="678">
      <c r="AG678" s="14"/>
    </row>
    <row r="679">
      <c r="AG679" s="14"/>
    </row>
    <row r="680">
      <c r="AG680" s="14"/>
    </row>
    <row r="681">
      <c r="AG681" s="14"/>
    </row>
    <row r="682">
      <c r="AG682" s="14"/>
    </row>
    <row r="683">
      <c r="AG683" s="14"/>
    </row>
    <row r="684">
      <c r="AG684" s="14"/>
    </row>
    <row r="685">
      <c r="AG685" s="14"/>
    </row>
    <row r="686">
      <c r="AG686" s="14"/>
    </row>
    <row r="687">
      <c r="AG687" s="14"/>
    </row>
    <row r="688">
      <c r="AG688" s="14"/>
    </row>
    <row r="689">
      <c r="AG689" s="14"/>
    </row>
    <row r="690">
      <c r="AG690" s="14"/>
    </row>
    <row r="691">
      <c r="AG691" s="14"/>
    </row>
    <row r="692">
      <c r="AG692" s="14"/>
    </row>
    <row r="693">
      <c r="AG693" s="14"/>
    </row>
    <row r="694">
      <c r="AG694" s="14"/>
    </row>
    <row r="695">
      <c r="AG695" s="14"/>
    </row>
    <row r="696">
      <c r="AG696" s="14"/>
    </row>
    <row r="697">
      <c r="AG697" s="14"/>
    </row>
    <row r="698">
      <c r="AG698" s="14"/>
    </row>
    <row r="699">
      <c r="AG699" s="14"/>
    </row>
    <row r="700">
      <c r="AG700" s="14"/>
    </row>
    <row r="701">
      <c r="AG701" s="14"/>
    </row>
    <row r="702">
      <c r="AG702" s="14"/>
    </row>
    <row r="703">
      <c r="AG703" s="14"/>
    </row>
    <row r="704">
      <c r="AG704" s="14"/>
    </row>
    <row r="705">
      <c r="AG705" s="14"/>
    </row>
    <row r="706">
      <c r="AG706" s="14"/>
    </row>
    <row r="707">
      <c r="AG707" s="14"/>
    </row>
    <row r="708">
      <c r="AG708" s="14"/>
    </row>
    <row r="709">
      <c r="AG709" s="14"/>
    </row>
    <row r="710">
      <c r="AG710" s="14"/>
    </row>
    <row r="711">
      <c r="AG711" s="14"/>
    </row>
    <row r="712">
      <c r="AG712" s="14"/>
    </row>
    <row r="713">
      <c r="AG713" s="14"/>
    </row>
    <row r="714">
      <c r="AG714" s="14"/>
    </row>
    <row r="715">
      <c r="AG715" s="14"/>
    </row>
    <row r="716">
      <c r="AG716" s="14"/>
    </row>
    <row r="717">
      <c r="AG717" s="14"/>
    </row>
    <row r="718">
      <c r="AG718" s="14"/>
    </row>
    <row r="719">
      <c r="AG719" s="14"/>
    </row>
    <row r="720">
      <c r="AG720" s="14"/>
    </row>
    <row r="721">
      <c r="AG721" s="14"/>
    </row>
    <row r="722">
      <c r="AG722" s="14"/>
    </row>
    <row r="723">
      <c r="AG723" s="14"/>
    </row>
    <row r="724">
      <c r="AG724" s="14"/>
    </row>
    <row r="725">
      <c r="AG725" s="14"/>
    </row>
    <row r="726">
      <c r="AG726" s="14"/>
    </row>
    <row r="727">
      <c r="AG727" s="14"/>
    </row>
    <row r="728">
      <c r="AG728" s="14"/>
    </row>
    <row r="729">
      <c r="AG729" s="14"/>
    </row>
    <row r="730">
      <c r="AG730" s="14"/>
    </row>
    <row r="731">
      <c r="AG731" s="14"/>
    </row>
    <row r="732">
      <c r="AG732" s="14"/>
    </row>
    <row r="733">
      <c r="AG733" s="14"/>
    </row>
    <row r="734">
      <c r="AG734" s="14"/>
    </row>
    <row r="735">
      <c r="AG735" s="14"/>
    </row>
    <row r="736">
      <c r="AG736" s="14"/>
    </row>
    <row r="737">
      <c r="AG737" s="14"/>
    </row>
    <row r="738">
      <c r="AG738" s="14"/>
    </row>
    <row r="739">
      <c r="AG739" s="14"/>
    </row>
    <row r="740">
      <c r="AG740" s="14"/>
    </row>
    <row r="741">
      <c r="AG741" s="14"/>
    </row>
    <row r="742">
      <c r="AG742" s="14"/>
    </row>
    <row r="743">
      <c r="AG743" s="14"/>
    </row>
    <row r="744">
      <c r="AG744" s="14"/>
    </row>
    <row r="745">
      <c r="AG745" s="14"/>
    </row>
    <row r="746">
      <c r="AG746" s="14"/>
    </row>
    <row r="747">
      <c r="AG747" s="14"/>
    </row>
    <row r="748">
      <c r="AG748" s="14"/>
    </row>
    <row r="749">
      <c r="AG749" s="14"/>
    </row>
    <row r="750">
      <c r="AG750" s="14"/>
    </row>
    <row r="751">
      <c r="AG751" s="14"/>
    </row>
    <row r="752">
      <c r="AG752" s="14"/>
    </row>
    <row r="753">
      <c r="AG753" s="14"/>
    </row>
    <row r="754">
      <c r="AG754" s="14"/>
    </row>
    <row r="755">
      <c r="AG755" s="14"/>
    </row>
    <row r="756">
      <c r="AG756" s="14"/>
    </row>
    <row r="757">
      <c r="AG757" s="14"/>
    </row>
    <row r="758">
      <c r="AG758" s="14"/>
    </row>
    <row r="759">
      <c r="AG759" s="14"/>
    </row>
    <row r="760">
      <c r="AG760" s="14"/>
    </row>
    <row r="761">
      <c r="AG761" s="14"/>
    </row>
    <row r="762">
      <c r="AG762" s="14"/>
    </row>
    <row r="763">
      <c r="AG763" s="14"/>
    </row>
    <row r="764">
      <c r="AG764" s="14"/>
    </row>
    <row r="765">
      <c r="AG765" s="14"/>
    </row>
    <row r="766">
      <c r="AG766" s="14"/>
    </row>
    <row r="767">
      <c r="AG767" s="14"/>
    </row>
    <row r="768">
      <c r="AG768" s="14"/>
    </row>
    <row r="769">
      <c r="AG769" s="14"/>
    </row>
    <row r="770">
      <c r="AG770" s="14"/>
    </row>
    <row r="771">
      <c r="AG771" s="14"/>
    </row>
    <row r="772">
      <c r="AG772" s="14"/>
    </row>
    <row r="773">
      <c r="AG773" s="14"/>
    </row>
    <row r="774">
      <c r="AG774" s="14"/>
    </row>
    <row r="775">
      <c r="AG775" s="14"/>
    </row>
    <row r="776">
      <c r="AG776" s="14"/>
    </row>
    <row r="777">
      <c r="AG777" s="14"/>
    </row>
    <row r="778">
      <c r="AG778" s="14"/>
    </row>
    <row r="779">
      <c r="AG779" s="14"/>
    </row>
    <row r="780">
      <c r="AG780" s="14"/>
    </row>
    <row r="781">
      <c r="AG781" s="14"/>
    </row>
    <row r="782">
      <c r="AG782" s="14"/>
    </row>
    <row r="783">
      <c r="AG783" s="14"/>
    </row>
    <row r="784">
      <c r="AG784" s="14"/>
    </row>
    <row r="785">
      <c r="AG785" s="14"/>
    </row>
    <row r="786">
      <c r="AG786" s="14"/>
    </row>
    <row r="787">
      <c r="AG787" s="14"/>
    </row>
    <row r="788">
      <c r="AG788" s="14"/>
    </row>
    <row r="789">
      <c r="AG789" s="14"/>
    </row>
    <row r="790">
      <c r="AG790" s="14"/>
    </row>
    <row r="791">
      <c r="AG791" s="14"/>
    </row>
    <row r="792">
      <c r="AG792" s="14"/>
    </row>
    <row r="793">
      <c r="AG793" s="14"/>
    </row>
    <row r="794">
      <c r="AG794" s="14"/>
    </row>
    <row r="795">
      <c r="AG795" s="14"/>
    </row>
    <row r="796">
      <c r="AG796" s="14"/>
    </row>
    <row r="797">
      <c r="AG797" s="14"/>
    </row>
    <row r="798">
      <c r="AG798" s="14"/>
    </row>
    <row r="799">
      <c r="AG799" s="14"/>
    </row>
    <row r="800">
      <c r="AG800" s="14"/>
    </row>
    <row r="801">
      <c r="AG801" s="14"/>
    </row>
    <row r="802">
      <c r="AG802" s="14"/>
    </row>
    <row r="803">
      <c r="AG803" s="14"/>
    </row>
    <row r="804">
      <c r="AG804" s="14"/>
    </row>
    <row r="805">
      <c r="AG805" s="14"/>
    </row>
    <row r="806">
      <c r="AG806" s="14"/>
    </row>
    <row r="807">
      <c r="AG807" s="14"/>
    </row>
    <row r="808">
      <c r="AG808" s="14"/>
    </row>
    <row r="809">
      <c r="AG809" s="14"/>
    </row>
    <row r="810">
      <c r="AG810" s="14"/>
    </row>
    <row r="811">
      <c r="AG811" s="14"/>
    </row>
    <row r="812">
      <c r="AG812" s="14"/>
    </row>
    <row r="813">
      <c r="AG813" s="14"/>
    </row>
    <row r="814">
      <c r="AG814" s="14"/>
    </row>
    <row r="815">
      <c r="AG815" s="14"/>
    </row>
    <row r="816">
      <c r="AG816" s="14"/>
    </row>
    <row r="817">
      <c r="AG817" s="14"/>
    </row>
    <row r="818">
      <c r="AG818" s="14"/>
    </row>
    <row r="819">
      <c r="AG819" s="14"/>
    </row>
    <row r="820">
      <c r="AG820" s="14"/>
    </row>
    <row r="821">
      <c r="AG821" s="14"/>
    </row>
    <row r="822">
      <c r="AG822" s="14"/>
    </row>
    <row r="823">
      <c r="AG823" s="14"/>
    </row>
    <row r="824">
      <c r="AG824" s="14"/>
    </row>
    <row r="825">
      <c r="AG825" s="14"/>
    </row>
    <row r="826">
      <c r="AG826" s="14"/>
    </row>
    <row r="827">
      <c r="AG827" s="14"/>
    </row>
    <row r="828">
      <c r="AG828" s="14"/>
    </row>
    <row r="829">
      <c r="AG829" s="14"/>
    </row>
    <row r="830">
      <c r="AG830" s="14"/>
    </row>
    <row r="831">
      <c r="AG831" s="14"/>
    </row>
    <row r="832">
      <c r="AG832" s="14"/>
    </row>
    <row r="833">
      <c r="AG833" s="14"/>
    </row>
    <row r="834">
      <c r="AG834" s="14"/>
    </row>
    <row r="835">
      <c r="AG835" s="14"/>
    </row>
    <row r="836">
      <c r="AG836" s="14"/>
    </row>
    <row r="837">
      <c r="AG837" s="14"/>
    </row>
    <row r="838">
      <c r="AG838" s="14"/>
    </row>
    <row r="839">
      <c r="AG839" s="14"/>
    </row>
    <row r="840">
      <c r="AG840" s="14"/>
    </row>
    <row r="841">
      <c r="AG841" s="14"/>
    </row>
    <row r="842">
      <c r="AG842" s="14"/>
    </row>
    <row r="843">
      <c r="AG843" s="14"/>
    </row>
    <row r="844">
      <c r="AG844" s="14"/>
    </row>
    <row r="845">
      <c r="AG845" s="14"/>
    </row>
    <row r="846">
      <c r="AG846" s="14"/>
    </row>
    <row r="847">
      <c r="AG847" s="14"/>
    </row>
    <row r="848">
      <c r="AG848" s="14"/>
    </row>
    <row r="849">
      <c r="AG849" s="14"/>
    </row>
    <row r="850">
      <c r="AG850" s="14"/>
    </row>
    <row r="851">
      <c r="AG851" s="14"/>
    </row>
    <row r="852">
      <c r="AG852" s="14"/>
    </row>
    <row r="853">
      <c r="AG853" s="14"/>
    </row>
    <row r="854">
      <c r="AG854" s="14"/>
    </row>
    <row r="855">
      <c r="AG855" s="14"/>
    </row>
    <row r="856">
      <c r="AG856" s="14"/>
    </row>
    <row r="857">
      <c r="AG857" s="14"/>
    </row>
    <row r="858">
      <c r="AG858" s="14"/>
    </row>
    <row r="859">
      <c r="AG859" s="14"/>
    </row>
    <row r="860">
      <c r="AG860" s="14"/>
    </row>
    <row r="861">
      <c r="AG861" s="14"/>
    </row>
    <row r="862">
      <c r="AG862" s="14"/>
    </row>
    <row r="863">
      <c r="AG863" s="14"/>
    </row>
    <row r="864">
      <c r="AG864" s="14"/>
    </row>
    <row r="865">
      <c r="AG865" s="14"/>
    </row>
    <row r="866">
      <c r="AG866" s="14"/>
    </row>
    <row r="867">
      <c r="AG867" s="14"/>
    </row>
    <row r="868">
      <c r="AG868" s="14"/>
    </row>
    <row r="869">
      <c r="AG869" s="14"/>
    </row>
    <row r="870">
      <c r="AG870" s="14"/>
    </row>
    <row r="871">
      <c r="AG871" s="14"/>
    </row>
    <row r="872">
      <c r="AG872" s="14"/>
    </row>
    <row r="873">
      <c r="AG873" s="14"/>
    </row>
    <row r="874">
      <c r="AG874" s="14"/>
    </row>
    <row r="875">
      <c r="AG875" s="14"/>
    </row>
    <row r="876">
      <c r="AG876" s="14"/>
    </row>
    <row r="877">
      <c r="AG877" s="14"/>
    </row>
    <row r="878">
      <c r="AG878" s="14"/>
    </row>
    <row r="879">
      <c r="AG879" s="14"/>
    </row>
    <row r="880">
      <c r="AG880" s="14"/>
    </row>
    <row r="881">
      <c r="AG881" s="14"/>
    </row>
    <row r="882">
      <c r="AG882" s="14"/>
    </row>
    <row r="883">
      <c r="AG883" s="14"/>
    </row>
    <row r="884">
      <c r="AG884" s="14"/>
    </row>
    <row r="885">
      <c r="AG885" s="14"/>
    </row>
    <row r="886">
      <c r="AG886" s="14"/>
    </row>
    <row r="887">
      <c r="AG887" s="14"/>
    </row>
    <row r="888">
      <c r="AG888" s="14"/>
    </row>
    <row r="889">
      <c r="AG889" s="14"/>
    </row>
    <row r="890">
      <c r="AG890" s="14"/>
    </row>
    <row r="891">
      <c r="AG891" s="14"/>
    </row>
    <row r="892">
      <c r="AG892" s="14"/>
    </row>
    <row r="893">
      <c r="AG893" s="14"/>
    </row>
    <row r="894">
      <c r="AG894" s="14"/>
    </row>
    <row r="895">
      <c r="AG895" s="14"/>
    </row>
    <row r="896">
      <c r="AG896" s="14"/>
    </row>
    <row r="897">
      <c r="AG897" s="14"/>
    </row>
    <row r="898">
      <c r="AG898" s="14"/>
    </row>
    <row r="899">
      <c r="AG899" s="14"/>
    </row>
    <row r="900">
      <c r="AG900" s="14"/>
    </row>
    <row r="901">
      <c r="AG901" s="14"/>
    </row>
    <row r="902">
      <c r="AG902" s="14"/>
    </row>
    <row r="903">
      <c r="AG903" s="14"/>
    </row>
    <row r="904">
      <c r="AG904" s="14"/>
    </row>
    <row r="905">
      <c r="AG905" s="14"/>
    </row>
    <row r="906">
      <c r="AG906" s="14"/>
    </row>
    <row r="907">
      <c r="AG907" s="14"/>
    </row>
    <row r="908">
      <c r="AG908" s="14"/>
    </row>
    <row r="909">
      <c r="AG909" s="14"/>
    </row>
    <row r="910">
      <c r="AG910" s="14"/>
    </row>
    <row r="911">
      <c r="AG911" s="14"/>
    </row>
    <row r="912">
      <c r="AG912" s="14"/>
    </row>
    <row r="913">
      <c r="AG913" s="14"/>
    </row>
    <row r="914">
      <c r="AG914" s="14"/>
    </row>
    <row r="915">
      <c r="AG915" s="14"/>
    </row>
    <row r="916">
      <c r="AG916" s="14"/>
    </row>
    <row r="917">
      <c r="AG917" s="14"/>
    </row>
    <row r="918">
      <c r="AG918" s="14"/>
    </row>
    <row r="919">
      <c r="AG919" s="14"/>
    </row>
    <row r="920">
      <c r="AG920" s="14"/>
    </row>
    <row r="921">
      <c r="AG921" s="14"/>
    </row>
    <row r="922">
      <c r="AG922" s="14"/>
    </row>
    <row r="923">
      <c r="AG923" s="14"/>
    </row>
    <row r="924">
      <c r="AG924" s="14"/>
    </row>
    <row r="925">
      <c r="AG925" s="14"/>
    </row>
    <row r="926">
      <c r="AG926" s="14"/>
    </row>
    <row r="927">
      <c r="AG927" s="14"/>
    </row>
    <row r="928">
      <c r="AG928" s="14"/>
    </row>
    <row r="929">
      <c r="AG929" s="14"/>
    </row>
    <row r="930">
      <c r="AG930" s="14"/>
    </row>
    <row r="931">
      <c r="AG931" s="14"/>
    </row>
    <row r="932">
      <c r="AG932" s="14"/>
    </row>
    <row r="933">
      <c r="AG933" s="14"/>
    </row>
    <row r="934">
      <c r="AG934" s="14"/>
    </row>
    <row r="935">
      <c r="AG935" s="14"/>
    </row>
    <row r="936">
      <c r="AG936" s="14"/>
    </row>
    <row r="937">
      <c r="AG937" s="14"/>
    </row>
    <row r="938">
      <c r="AG938" s="14"/>
    </row>
    <row r="939">
      <c r="AG939" s="14"/>
    </row>
    <row r="940">
      <c r="AG940" s="14"/>
    </row>
    <row r="941">
      <c r="AG941" s="14"/>
    </row>
    <row r="942">
      <c r="AG942" s="14"/>
    </row>
    <row r="943">
      <c r="AG943" s="14"/>
    </row>
    <row r="944">
      <c r="AG944" s="14"/>
    </row>
    <row r="945">
      <c r="AG945" s="14"/>
    </row>
    <row r="946">
      <c r="AG946" s="14"/>
    </row>
    <row r="947">
      <c r="AG947" s="14"/>
    </row>
    <row r="948">
      <c r="AG948" s="14"/>
    </row>
    <row r="949">
      <c r="AG949" s="14"/>
    </row>
    <row r="950">
      <c r="AG950" s="14"/>
    </row>
    <row r="951">
      <c r="AG951" s="14"/>
    </row>
    <row r="952">
      <c r="AG952" s="14"/>
    </row>
    <row r="953">
      <c r="AG953" s="14"/>
    </row>
    <row r="954">
      <c r="AG954" s="14"/>
    </row>
    <row r="955">
      <c r="AG955" s="14"/>
    </row>
    <row r="956">
      <c r="AG956" s="14"/>
    </row>
    <row r="957">
      <c r="AG957" s="14"/>
    </row>
    <row r="958">
      <c r="AG958" s="14"/>
    </row>
    <row r="959">
      <c r="AG959" s="14"/>
    </row>
    <row r="960">
      <c r="AG960" s="14"/>
    </row>
    <row r="961">
      <c r="AG961" s="14"/>
    </row>
    <row r="962">
      <c r="AG962" s="14"/>
    </row>
    <row r="963">
      <c r="AG963" s="14"/>
    </row>
    <row r="964">
      <c r="AG964" s="14"/>
    </row>
    <row r="965">
      <c r="AG965" s="14"/>
    </row>
    <row r="966">
      <c r="AG966" s="14"/>
    </row>
    <row r="967">
      <c r="AG967" s="14"/>
    </row>
    <row r="968">
      <c r="AG968" s="14"/>
    </row>
    <row r="969">
      <c r="AG969" s="14"/>
    </row>
    <row r="970">
      <c r="AG970" s="14"/>
    </row>
    <row r="971">
      <c r="AG971" s="14"/>
    </row>
    <row r="972">
      <c r="AG972" s="14"/>
    </row>
    <row r="973">
      <c r="AG973" s="14"/>
    </row>
    <row r="974">
      <c r="AG974" s="14"/>
    </row>
    <row r="975">
      <c r="AG975" s="14"/>
    </row>
    <row r="976">
      <c r="AG976" s="14"/>
    </row>
    <row r="977">
      <c r="AG977" s="14"/>
    </row>
    <row r="978">
      <c r="AG978" s="14"/>
    </row>
    <row r="979">
      <c r="AG979" s="14"/>
    </row>
    <row r="980">
      <c r="AG980" s="14"/>
    </row>
    <row r="981">
      <c r="AG981" s="14"/>
    </row>
    <row r="982">
      <c r="AG982" s="14"/>
    </row>
    <row r="983">
      <c r="AG983" s="14"/>
    </row>
    <row r="984">
      <c r="AG984" s="14"/>
    </row>
    <row r="985">
      <c r="AG985" s="14"/>
    </row>
    <row r="986">
      <c r="AG986" s="14"/>
    </row>
    <row r="987">
      <c r="AG987" s="14"/>
    </row>
    <row r="988">
      <c r="AG988" s="14"/>
    </row>
    <row r="989">
      <c r="AG989" s="14"/>
    </row>
    <row r="990">
      <c r="AG990" s="14"/>
    </row>
    <row r="991">
      <c r="AG991" s="14"/>
    </row>
    <row r="992">
      <c r="AG992" s="14"/>
    </row>
    <row r="993">
      <c r="AG993" s="14"/>
    </row>
    <row r="994">
      <c r="AG994" s="14"/>
    </row>
    <row r="995">
      <c r="AG995" s="14"/>
    </row>
    <row r="996">
      <c r="AG996" s="14"/>
    </row>
    <row r="997">
      <c r="AG997" s="14"/>
    </row>
    <row r="998">
      <c r="AG998" s="14"/>
    </row>
    <row r="999">
      <c r="AG999" s="14"/>
    </row>
    <row r="1000">
      <c r="AG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3" max="3" width="51.88"/>
  </cols>
  <sheetData>
    <row r="1" ht="174.0" customHeight="1">
      <c r="A1" s="15" t="s">
        <v>32</v>
      </c>
      <c r="B1" s="15" t="s">
        <v>33</v>
      </c>
      <c r="C1" s="15" t="s">
        <v>34</v>
      </c>
      <c r="D1" s="15" t="s">
        <v>35</v>
      </c>
      <c r="E1" s="15" t="s">
        <v>8</v>
      </c>
      <c r="F1" s="16" t="s">
        <v>36</v>
      </c>
      <c r="G1" s="16" t="s">
        <v>37</v>
      </c>
      <c r="H1" s="16" t="s">
        <v>18</v>
      </c>
      <c r="I1" s="16" t="s">
        <v>38</v>
      </c>
      <c r="J1" s="17" t="s">
        <v>39</v>
      </c>
      <c r="K1" s="17" t="s">
        <v>40</v>
      </c>
      <c r="L1" s="17" t="s">
        <v>41</v>
      </c>
      <c r="M1" s="17" t="s">
        <v>42</v>
      </c>
      <c r="N1" s="18" t="s">
        <v>17</v>
      </c>
      <c r="O1" s="18" t="s">
        <v>43</v>
      </c>
      <c r="P1" s="19" t="s">
        <v>44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20" t="s">
        <v>45</v>
      </c>
      <c r="B2" s="20" t="s">
        <v>46</v>
      </c>
      <c r="C2" s="21" t="s">
        <v>47</v>
      </c>
      <c r="D2" s="21" t="s">
        <v>48</v>
      </c>
      <c r="E2" s="22" t="s">
        <v>49</v>
      </c>
      <c r="F2" s="23" t="s">
        <v>50</v>
      </c>
      <c r="G2" s="23" t="s">
        <v>50</v>
      </c>
      <c r="H2" s="8" t="s">
        <v>51</v>
      </c>
      <c r="I2" s="22" t="s">
        <v>52</v>
      </c>
      <c r="J2" s="8" t="s">
        <v>53</v>
      </c>
      <c r="K2" s="8" t="s">
        <v>53</v>
      </c>
      <c r="L2" s="8" t="s">
        <v>53</v>
      </c>
      <c r="M2" s="8" t="s">
        <v>53</v>
      </c>
      <c r="N2" s="8" t="s">
        <v>49</v>
      </c>
      <c r="O2" s="8" t="s">
        <v>54</v>
      </c>
      <c r="P2" s="21" t="s">
        <v>55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20" t="s">
        <v>45</v>
      </c>
      <c r="B3" s="20" t="s">
        <v>56</v>
      </c>
      <c r="C3" s="21" t="s">
        <v>47</v>
      </c>
      <c r="D3" s="21" t="s">
        <v>48</v>
      </c>
      <c r="E3" s="22" t="s">
        <v>49</v>
      </c>
      <c r="F3" s="23" t="s">
        <v>50</v>
      </c>
      <c r="G3" s="23" t="s">
        <v>57</v>
      </c>
      <c r="H3" s="8" t="s">
        <v>51</v>
      </c>
      <c r="I3" s="22" t="s">
        <v>52</v>
      </c>
      <c r="J3" s="8" t="s">
        <v>53</v>
      </c>
      <c r="K3" s="8" t="s">
        <v>53</v>
      </c>
      <c r="L3" s="8" t="s">
        <v>53</v>
      </c>
      <c r="M3" s="8" t="s">
        <v>53</v>
      </c>
      <c r="N3" s="8" t="s">
        <v>49</v>
      </c>
      <c r="O3" s="8" t="s">
        <v>54</v>
      </c>
      <c r="P3" s="21" t="s">
        <v>55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20" t="s">
        <v>45</v>
      </c>
      <c r="B4" s="20" t="s">
        <v>58</v>
      </c>
      <c r="C4" s="21" t="s">
        <v>47</v>
      </c>
      <c r="D4" s="21" t="s">
        <v>48</v>
      </c>
      <c r="E4" s="22" t="s">
        <v>49</v>
      </c>
      <c r="F4" s="23" t="s">
        <v>50</v>
      </c>
      <c r="G4" s="23" t="s">
        <v>59</v>
      </c>
      <c r="H4" s="8" t="s">
        <v>51</v>
      </c>
      <c r="I4" s="22" t="s">
        <v>52</v>
      </c>
      <c r="J4" s="8" t="s">
        <v>53</v>
      </c>
      <c r="K4" s="8" t="s">
        <v>53</v>
      </c>
      <c r="L4" s="8" t="s">
        <v>53</v>
      </c>
      <c r="M4" s="8" t="s">
        <v>53</v>
      </c>
      <c r="N4" s="8" t="s">
        <v>49</v>
      </c>
      <c r="O4" s="8" t="s">
        <v>54</v>
      </c>
      <c r="P4" s="21" t="s">
        <v>55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20" t="s">
        <v>45</v>
      </c>
      <c r="B5" s="20" t="s">
        <v>60</v>
      </c>
      <c r="C5" s="21" t="s">
        <v>47</v>
      </c>
      <c r="D5" s="21" t="s">
        <v>48</v>
      </c>
      <c r="E5" s="22" t="s">
        <v>49</v>
      </c>
      <c r="F5" s="23" t="s">
        <v>50</v>
      </c>
      <c r="G5" s="23" t="s">
        <v>57</v>
      </c>
      <c r="H5" s="8" t="s">
        <v>51</v>
      </c>
      <c r="I5" s="22" t="s">
        <v>52</v>
      </c>
      <c r="J5" s="8" t="s">
        <v>53</v>
      </c>
      <c r="K5" s="8" t="s">
        <v>53</v>
      </c>
      <c r="L5" s="8" t="s">
        <v>53</v>
      </c>
      <c r="M5" s="8" t="s">
        <v>53</v>
      </c>
      <c r="N5" s="8" t="s">
        <v>49</v>
      </c>
      <c r="O5" s="8" t="s">
        <v>61</v>
      </c>
      <c r="P5" s="21" t="s">
        <v>55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20" t="s">
        <v>45</v>
      </c>
      <c r="B6" s="20" t="s">
        <v>62</v>
      </c>
      <c r="C6" s="21" t="s">
        <v>47</v>
      </c>
      <c r="D6" s="21" t="s">
        <v>48</v>
      </c>
      <c r="E6" s="22" t="s">
        <v>49</v>
      </c>
      <c r="F6" s="23" t="s">
        <v>50</v>
      </c>
      <c r="G6" s="23" t="s">
        <v>50</v>
      </c>
      <c r="H6" s="8" t="s">
        <v>51</v>
      </c>
      <c r="I6" s="22" t="s">
        <v>52</v>
      </c>
      <c r="J6" s="8" t="s">
        <v>53</v>
      </c>
      <c r="K6" s="8" t="s">
        <v>53</v>
      </c>
      <c r="L6" s="8" t="s">
        <v>53</v>
      </c>
      <c r="M6" s="8" t="s">
        <v>53</v>
      </c>
      <c r="N6" s="8" t="s">
        <v>49</v>
      </c>
      <c r="O6" s="8" t="s">
        <v>61</v>
      </c>
      <c r="P6" s="21" t="s">
        <v>55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20" t="s">
        <v>45</v>
      </c>
      <c r="B7" s="20" t="s">
        <v>63</v>
      </c>
      <c r="C7" s="21" t="s">
        <v>47</v>
      </c>
      <c r="D7" s="21" t="s">
        <v>48</v>
      </c>
      <c r="E7" s="22" t="s">
        <v>49</v>
      </c>
      <c r="F7" s="23" t="s">
        <v>50</v>
      </c>
      <c r="G7" s="23" t="s">
        <v>59</v>
      </c>
      <c r="H7" s="8" t="s">
        <v>51</v>
      </c>
      <c r="I7" s="22" t="s">
        <v>52</v>
      </c>
      <c r="J7" s="8" t="s">
        <v>53</v>
      </c>
      <c r="K7" s="8" t="s">
        <v>53</v>
      </c>
      <c r="L7" s="8" t="s">
        <v>53</v>
      </c>
      <c r="M7" s="8" t="s">
        <v>53</v>
      </c>
      <c r="N7" s="8" t="s">
        <v>49</v>
      </c>
      <c r="O7" s="8" t="s">
        <v>61</v>
      </c>
      <c r="P7" s="21" t="s">
        <v>55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20" t="s">
        <v>45</v>
      </c>
      <c r="B8" s="20" t="s">
        <v>64</v>
      </c>
      <c r="C8" s="21" t="s">
        <v>47</v>
      </c>
      <c r="D8" s="21" t="s">
        <v>48</v>
      </c>
      <c r="E8" s="22" t="s">
        <v>49</v>
      </c>
      <c r="F8" s="23" t="s">
        <v>50</v>
      </c>
      <c r="G8" s="23" t="s">
        <v>57</v>
      </c>
      <c r="H8" s="8" t="s">
        <v>51</v>
      </c>
      <c r="I8" s="22" t="s">
        <v>52</v>
      </c>
      <c r="J8" s="8" t="s">
        <v>49</v>
      </c>
      <c r="K8" s="8" t="s">
        <v>49</v>
      </c>
      <c r="L8" s="8" t="s">
        <v>49</v>
      </c>
      <c r="M8" s="8" t="s">
        <v>49</v>
      </c>
      <c r="N8" s="8" t="s">
        <v>49</v>
      </c>
      <c r="O8" s="8" t="s">
        <v>61</v>
      </c>
      <c r="P8" s="21" t="s">
        <v>55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20" t="s">
        <v>45</v>
      </c>
      <c r="B9" s="20" t="s">
        <v>65</v>
      </c>
      <c r="C9" s="21" t="s">
        <v>47</v>
      </c>
      <c r="D9" s="21" t="s">
        <v>48</v>
      </c>
      <c r="E9" s="22" t="s">
        <v>49</v>
      </c>
      <c r="F9" s="23" t="s">
        <v>50</v>
      </c>
      <c r="G9" s="23" t="s">
        <v>50</v>
      </c>
      <c r="H9" s="8" t="s">
        <v>51</v>
      </c>
      <c r="I9" s="22" t="s">
        <v>52</v>
      </c>
      <c r="J9" s="8" t="s">
        <v>53</v>
      </c>
      <c r="K9" s="8" t="s">
        <v>53</v>
      </c>
      <c r="L9" s="8" t="s">
        <v>53</v>
      </c>
      <c r="M9" s="8" t="s">
        <v>53</v>
      </c>
      <c r="N9" s="8" t="s">
        <v>49</v>
      </c>
      <c r="O9" s="8" t="s">
        <v>61</v>
      </c>
      <c r="P9" s="21" t="s">
        <v>55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20" t="s">
        <v>45</v>
      </c>
      <c r="B10" s="20" t="s">
        <v>66</v>
      </c>
      <c r="C10" s="21" t="s">
        <v>47</v>
      </c>
      <c r="D10" s="21" t="s">
        <v>48</v>
      </c>
      <c r="E10" s="22" t="s">
        <v>49</v>
      </c>
      <c r="F10" s="23" t="s">
        <v>50</v>
      </c>
      <c r="G10" s="23" t="s">
        <v>59</v>
      </c>
      <c r="H10" s="8" t="s">
        <v>51</v>
      </c>
      <c r="I10" s="22" t="s">
        <v>52</v>
      </c>
      <c r="J10" s="8" t="s">
        <v>53</v>
      </c>
      <c r="K10" s="8" t="s">
        <v>51</v>
      </c>
      <c r="L10" s="8" t="s">
        <v>53</v>
      </c>
      <c r="M10" s="8" t="s">
        <v>53</v>
      </c>
      <c r="N10" s="8" t="s">
        <v>49</v>
      </c>
      <c r="O10" s="8" t="s">
        <v>61</v>
      </c>
      <c r="P10" s="21" t="s">
        <v>55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20" t="s">
        <v>45</v>
      </c>
      <c r="B11" s="20" t="s">
        <v>67</v>
      </c>
      <c r="C11" s="21" t="s">
        <v>47</v>
      </c>
      <c r="D11" s="21" t="s">
        <v>48</v>
      </c>
      <c r="E11" s="22" t="s">
        <v>49</v>
      </c>
      <c r="F11" s="23" t="s">
        <v>50</v>
      </c>
      <c r="G11" s="23" t="s">
        <v>57</v>
      </c>
      <c r="H11" s="8" t="s">
        <v>51</v>
      </c>
      <c r="I11" s="22" t="s">
        <v>52</v>
      </c>
      <c r="J11" s="8" t="s">
        <v>53</v>
      </c>
      <c r="K11" s="8" t="s">
        <v>53</v>
      </c>
      <c r="L11" s="8" t="s">
        <v>53</v>
      </c>
      <c r="M11" s="8" t="s">
        <v>53</v>
      </c>
      <c r="N11" s="8" t="s">
        <v>49</v>
      </c>
      <c r="O11" s="8" t="s">
        <v>61</v>
      </c>
      <c r="P11" s="21" t="s">
        <v>55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20" t="s">
        <v>45</v>
      </c>
      <c r="B12" s="20" t="s">
        <v>68</v>
      </c>
      <c r="C12" s="21" t="s">
        <v>47</v>
      </c>
      <c r="D12" s="21" t="s">
        <v>48</v>
      </c>
      <c r="E12" s="22" t="s">
        <v>49</v>
      </c>
      <c r="F12" s="23" t="s">
        <v>50</v>
      </c>
      <c r="G12" s="23" t="s">
        <v>59</v>
      </c>
      <c r="H12" s="8" t="s">
        <v>51</v>
      </c>
      <c r="I12" s="22" t="s">
        <v>52</v>
      </c>
      <c r="J12" s="8" t="s">
        <v>53</v>
      </c>
      <c r="K12" s="8" t="s">
        <v>53</v>
      </c>
      <c r="L12" s="8" t="s">
        <v>53</v>
      </c>
      <c r="M12" s="8" t="s">
        <v>53</v>
      </c>
      <c r="N12" s="8" t="s">
        <v>49</v>
      </c>
      <c r="O12" s="8" t="s">
        <v>61</v>
      </c>
      <c r="P12" s="21" t="s">
        <v>55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20" t="s">
        <v>45</v>
      </c>
      <c r="B13" s="20" t="s">
        <v>69</v>
      </c>
      <c r="C13" s="21" t="s">
        <v>47</v>
      </c>
      <c r="D13" s="21" t="s">
        <v>48</v>
      </c>
      <c r="E13" s="22" t="s">
        <v>49</v>
      </c>
      <c r="F13" s="23" t="s">
        <v>50</v>
      </c>
      <c r="G13" s="23" t="s">
        <v>59</v>
      </c>
      <c r="H13" s="8" t="s">
        <v>51</v>
      </c>
      <c r="I13" s="22" t="s">
        <v>52</v>
      </c>
      <c r="J13" s="8" t="s">
        <v>53</v>
      </c>
      <c r="K13" s="8" t="s">
        <v>53</v>
      </c>
      <c r="L13" s="8" t="s">
        <v>53</v>
      </c>
      <c r="M13" s="8" t="s">
        <v>53</v>
      </c>
      <c r="N13" s="8" t="s">
        <v>49</v>
      </c>
      <c r="O13" s="8" t="s">
        <v>61</v>
      </c>
      <c r="P13" s="21" t="s">
        <v>55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20" t="s">
        <v>45</v>
      </c>
      <c r="B14" s="20" t="s">
        <v>70</v>
      </c>
      <c r="C14" s="21" t="s">
        <v>47</v>
      </c>
      <c r="D14" s="21" t="s">
        <v>48</v>
      </c>
      <c r="E14" s="22" t="s">
        <v>49</v>
      </c>
      <c r="F14" s="23" t="s">
        <v>50</v>
      </c>
      <c r="G14" s="23" t="s">
        <v>59</v>
      </c>
      <c r="H14" s="8" t="s">
        <v>51</v>
      </c>
      <c r="I14" s="22" t="s">
        <v>52</v>
      </c>
      <c r="J14" s="8" t="s">
        <v>53</v>
      </c>
      <c r="K14" s="8" t="s">
        <v>53</v>
      </c>
      <c r="L14" s="8" t="s">
        <v>53</v>
      </c>
      <c r="M14" s="8" t="s">
        <v>53</v>
      </c>
      <c r="N14" s="8" t="s">
        <v>49</v>
      </c>
      <c r="O14" s="8" t="s">
        <v>61</v>
      </c>
      <c r="P14" s="21" t="s">
        <v>55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20" t="s">
        <v>45</v>
      </c>
      <c r="B15" s="20" t="s">
        <v>71</v>
      </c>
      <c r="C15" s="21" t="s">
        <v>47</v>
      </c>
      <c r="D15" s="21" t="s">
        <v>48</v>
      </c>
      <c r="E15" s="22" t="s">
        <v>49</v>
      </c>
      <c r="F15" s="23" t="s">
        <v>50</v>
      </c>
      <c r="G15" s="23" t="s">
        <v>50</v>
      </c>
      <c r="H15" s="8" t="s">
        <v>51</v>
      </c>
      <c r="I15" s="22" t="s">
        <v>52</v>
      </c>
      <c r="J15" s="8" t="s">
        <v>53</v>
      </c>
      <c r="K15" s="8" t="s">
        <v>53</v>
      </c>
      <c r="L15" s="8" t="s">
        <v>53</v>
      </c>
      <c r="M15" s="8" t="s">
        <v>53</v>
      </c>
      <c r="N15" s="8" t="s">
        <v>49</v>
      </c>
      <c r="O15" s="8" t="s">
        <v>61</v>
      </c>
      <c r="P15" s="21" t="s">
        <v>55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20" t="s">
        <v>45</v>
      </c>
      <c r="B16" s="20" t="s">
        <v>72</v>
      </c>
      <c r="C16" s="21" t="s">
        <v>47</v>
      </c>
      <c r="D16" s="21" t="s">
        <v>48</v>
      </c>
      <c r="E16" s="22" t="s">
        <v>49</v>
      </c>
      <c r="F16" s="24" t="s">
        <v>50</v>
      </c>
      <c r="G16" s="24" t="s">
        <v>59</v>
      </c>
      <c r="H16" s="8" t="s">
        <v>51</v>
      </c>
      <c r="I16" s="22" t="s">
        <v>52</v>
      </c>
      <c r="J16" s="8" t="s">
        <v>53</v>
      </c>
      <c r="K16" s="8" t="s">
        <v>53</v>
      </c>
      <c r="L16" s="8" t="s">
        <v>53</v>
      </c>
      <c r="M16" s="8" t="s">
        <v>53</v>
      </c>
      <c r="N16" s="8" t="s">
        <v>49</v>
      </c>
      <c r="O16" s="8" t="s">
        <v>61</v>
      </c>
      <c r="P16" s="21" t="s">
        <v>55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20" t="s">
        <v>45</v>
      </c>
      <c r="B17" s="20" t="s">
        <v>73</v>
      </c>
      <c r="C17" s="21" t="s">
        <v>47</v>
      </c>
      <c r="D17" s="21" t="s">
        <v>48</v>
      </c>
      <c r="E17" s="22" t="s">
        <v>49</v>
      </c>
      <c r="F17" s="23" t="s">
        <v>50</v>
      </c>
      <c r="G17" s="23" t="s">
        <v>50</v>
      </c>
      <c r="H17" s="8" t="s">
        <v>51</v>
      </c>
      <c r="I17" s="22" t="s">
        <v>52</v>
      </c>
      <c r="J17" s="8" t="s">
        <v>53</v>
      </c>
      <c r="K17" s="8" t="s">
        <v>53</v>
      </c>
      <c r="L17" s="8" t="s">
        <v>53</v>
      </c>
      <c r="M17" s="8" t="s">
        <v>53</v>
      </c>
      <c r="N17" s="8" t="s">
        <v>49</v>
      </c>
      <c r="O17" s="8" t="s">
        <v>61</v>
      </c>
      <c r="P17" s="21" t="s">
        <v>55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20" t="s">
        <v>45</v>
      </c>
      <c r="B18" s="20" t="s">
        <v>74</v>
      </c>
      <c r="C18" s="21" t="s">
        <v>47</v>
      </c>
      <c r="D18" s="21" t="s">
        <v>48</v>
      </c>
      <c r="E18" s="22" t="s">
        <v>49</v>
      </c>
      <c r="F18" s="23" t="s">
        <v>50</v>
      </c>
      <c r="G18" s="23"/>
      <c r="H18" s="8" t="s">
        <v>51</v>
      </c>
      <c r="I18" s="22" t="s">
        <v>52</v>
      </c>
      <c r="J18" s="8" t="s">
        <v>53</v>
      </c>
      <c r="K18" s="8" t="s">
        <v>53</v>
      </c>
      <c r="L18" s="8" t="s">
        <v>53</v>
      </c>
      <c r="M18" s="8" t="s">
        <v>53</v>
      </c>
      <c r="N18" s="8" t="s">
        <v>49</v>
      </c>
      <c r="O18" s="8" t="s">
        <v>61</v>
      </c>
      <c r="P18" s="21" t="s">
        <v>55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20" t="s">
        <v>45</v>
      </c>
      <c r="B19" s="20" t="s">
        <v>75</v>
      </c>
      <c r="C19" s="21" t="s">
        <v>47</v>
      </c>
      <c r="D19" s="21" t="s">
        <v>48</v>
      </c>
      <c r="E19" s="22" t="s">
        <v>49</v>
      </c>
      <c r="F19" s="23" t="s">
        <v>50</v>
      </c>
      <c r="G19" s="23" t="s">
        <v>57</v>
      </c>
      <c r="H19" s="8" t="s">
        <v>51</v>
      </c>
      <c r="I19" s="22" t="s">
        <v>52</v>
      </c>
      <c r="J19" s="8" t="s">
        <v>53</v>
      </c>
      <c r="K19" s="8" t="s">
        <v>53</v>
      </c>
      <c r="L19" s="8" t="s">
        <v>53</v>
      </c>
      <c r="M19" s="8" t="s">
        <v>53</v>
      </c>
      <c r="N19" s="8" t="s">
        <v>49</v>
      </c>
      <c r="O19" s="8" t="s">
        <v>61</v>
      </c>
      <c r="P19" s="21" t="s">
        <v>55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20" t="s">
        <v>45</v>
      </c>
      <c r="B20" s="20" t="s">
        <v>76</v>
      </c>
      <c r="C20" s="21" t="s">
        <v>47</v>
      </c>
      <c r="D20" s="21" t="s">
        <v>48</v>
      </c>
      <c r="E20" s="22" t="s">
        <v>49</v>
      </c>
      <c r="F20" s="23" t="s">
        <v>50</v>
      </c>
      <c r="G20" s="23" t="s">
        <v>57</v>
      </c>
      <c r="H20" s="8" t="s">
        <v>51</v>
      </c>
      <c r="I20" s="22" t="s">
        <v>52</v>
      </c>
      <c r="J20" s="8" t="s">
        <v>53</v>
      </c>
      <c r="K20" s="8" t="s">
        <v>53</v>
      </c>
      <c r="L20" s="8" t="s">
        <v>53</v>
      </c>
      <c r="M20" s="8" t="s">
        <v>53</v>
      </c>
      <c r="N20" s="8" t="s">
        <v>49</v>
      </c>
      <c r="O20" s="8" t="s">
        <v>61</v>
      </c>
      <c r="P20" s="21" t="s">
        <v>55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20" t="s">
        <v>45</v>
      </c>
      <c r="B21" s="20" t="s">
        <v>77</v>
      </c>
      <c r="C21" s="21" t="s">
        <v>47</v>
      </c>
      <c r="D21" s="21" t="s">
        <v>48</v>
      </c>
      <c r="E21" s="22" t="s">
        <v>49</v>
      </c>
      <c r="F21" s="23" t="s">
        <v>50</v>
      </c>
      <c r="G21" s="23" t="s">
        <v>50</v>
      </c>
      <c r="H21" s="8" t="s">
        <v>51</v>
      </c>
      <c r="I21" s="22" t="s">
        <v>52</v>
      </c>
      <c r="J21" s="8" t="s">
        <v>53</v>
      </c>
      <c r="K21" s="8" t="s">
        <v>53</v>
      </c>
      <c r="L21" s="8" t="s">
        <v>53</v>
      </c>
      <c r="M21" s="8" t="s">
        <v>53</v>
      </c>
      <c r="N21" s="8" t="s">
        <v>49</v>
      </c>
      <c r="O21" s="8" t="s">
        <v>78</v>
      </c>
      <c r="P21" s="21" t="s">
        <v>55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20" t="s">
        <v>45</v>
      </c>
      <c r="B22" s="20" t="s">
        <v>79</v>
      </c>
      <c r="C22" s="21" t="s">
        <v>47</v>
      </c>
      <c r="D22" s="21" t="s">
        <v>48</v>
      </c>
      <c r="E22" s="22" t="s">
        <v>49</v>
      </c>
      <c r="F22" s="23" t="s">
        <v>50</v>
      </c>
      <c r="G22" s="23"/>
      <c r="H22" s="8" t="s">
        <v>51</v>
      </c>
      <c r="I22" s="22" t="s">
        <v>52</v>
      </c>
      <c r="J22" s="8" t="s">
        <v>53</v>
      </c>
      <c r="K22" s="8" t="s">
        <v>53</v>
      </c>
      <c r="L22" s="8" t="s">
        <v>53</v>
      </c>
      <c r="M22" s="8" t="s">
        <v>53</v>
      </c>
      <c r="N22" s="8" t="s">
        <v>49</v>
      </c>
      <c r="O22" s="8" t="s">
        <v>78</v>
      </c>
      <c r="P22" s="21" t="s">
        <v>55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20" t="s">
        <v>45</v>
      </c>
      <c r="B23" s="20" t="s">
        <v>80</v>
      </c>
      <c r="C23" s="21" t="s">
        <v>47</v>
      </c>
      <c r="D23" s="21" t="s">
        <v>48</v>
      </c>
      <c r="E23" s="22" t="s">
        <v>49</v>
      </c>
      <c r="F23" s="23" t="s">
        <v>50</v>
      </c>
      <c r="G23" s="23" t="s">
        <v>59</v>
      </c>
      <c r="H23" s="8" t="s">
        <v>51</v>
      </c>
      <c r="I23" s="22" t="s">
        <v>52</v>
      </c>
      <c r="J23" s="8" t="s">
        <v>49</v>
      </c>
      <c r="K23" s="8" t="s">
        <v>53</v>
      </c>
      <c r="L23" s="8" t="s">
        <v>49</v>
      </c>
      <c r="M23" s="8" t="s">
        <v>53</v>
      </c>
      <c r="N23" s="8" t="s">
        <v>49</v>
      </c>
      <c r="O23" s="8" t="s">
        <v>61</v>
      </c>
      <c r="P23" s="21" t="s">
        <v>55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20" t="s">
        <v>45</v>
      </c>
      <c r="B24" s="20" t="s">
        <v>81</v>
      </c>
      <c r="C24" s="21" t="s">
        <v>47</v>
      </c>
      <c r="D24" s="21" t="s">
        <v>48</v>
      </c>
      <c r="E24" s="22" t="s">
        <v>49</v>
      </c>
      <c r="F24" s="23" t="s">
        <v>50</v>
      </c>
      <c r="G24" s="23" t="s">
        <v>59</v>
      </c>
      <c r="H24" s="8" t="s">
        <v>51</v>
      </c>
      <c r="I24" s="22" t="s">
        <v>52</v>
      </c>
      <c r="J24" s="8" t="s">
        <v>53</v>
      </c>
      <c r="K24" s="8" t="s">
        <v>53</v>
      </c>
      <c r="L24" s="8" t="s">
        <v>53</v>
      </c>
      <c r="M24" s="8" t="s">
        <v>53</v>
      </c>
      <c r="N24" s="8" t="s">
        <v>49</v>
      </c>
      <c r="O24" s="8" t="s">
        <v>61</v>
      </c>
      <c r="P24" s="21" t="s">
        <v>55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20" t="s">
        <v>45</v>
      </c>
      <c r="B25" s="20" t="s">
        <v>82</v>
      </c>
      <c r="C25" s="21" t="s">
        <v>47</v>
      </c>
      <c r="D25" s="21" t="s">
        <v>48</v>
      </c>
      <c r="E25" s="22" t="s">
        <v>49</v>
      </c>
      <c r="F25" s="23" t="s">
        <v>50</v>
      </c>
      <c r="G25" s="23" t="s">
        <v>57</v>
      </c>
      <c r="H25" s="8" t="s">
        <v>51</v>
      </c>
      <c r="I25" s="22" t="s">
        <v>52</v>
      </c>
      <c r="J25" s="8" t="s">
        <v>49</v>
      </c>
      <c r="K25" s="8" t="s">
        <v>49</v>
      </c>
      <c r="L25" s="8" t="s">
        <v>49</v>
      </c>
      <c r="M25" s="8" t="s">
        <v>53</v>
      </c>
      <c r="N25" s="8" t="s">
        <v>49</v>
      </c>
      <c r="O25" s="8" t="s">
        <v>61</v>
      </c>
      <c r="P25" s="21" t="s">
        <v>55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20" t="s">
        <v>45</v>
      </c>
      <c r="B26" s="20" t="s">
        <v>83</v>
      </c>
      <c r="C26" s="21" t="s">
        <v>47</v>
      </c>
      <c r="D26" s="21" t="s">
        <v>48</v>
      </c>
      <c r="E26" s="22" t="s">
        <v>49</v>
      </c>
      <c r="F26" s="23" t="s">
        <v>50</v>
      </c>
      <c r="G26" s="23" t="s">
        <v>50</v>
      </c>
      <c r="H26" s="8" t="s">
        <v>51</v>
      </c>
      <c r="I26" s="22" t="s">
        <v>52</v>
      </c>
      <c r="J26" s="8" t="s">
        <v>49</v>
      </c>
      <c r="K26" s="8" t="s">
        <v>49</v>
      </c>
      <c r="L26" s="8" t="s">
        <v>49</v>
      </c>
      <c r="M26" s="8" t="s">
        <v>49</v>
      </c>
      <c r="N26" s="8" t="s">
        <v>49</v>
      </c>
      <c r="O26" s="8" t="s">
        <v>61</v>
      </c>
      <c r="P26" s="21" t="s">
        <v>55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20" t="s">
        <v>45</v>
      </c>
      <c r="B27" s="20" t="s">
        <v>84</v>
      </c>
      <c r="C27" s="21" t="s">
        <v>47</v>
      </c>
      <c r="D27" s="21" t="s">
        <v>48</v>
      </c>
      <c r="E27" s="8" t="s">
        <v>49</v>
      </c>
      <c r="F27" s="8" t="s">
        <v>50</v>
      </c>
      <c r="G27" s="8" t="s">
        <v>50</v>
      </c>
      <c r="H27" s="8" t="s">
        <v>51</v>
      </c>
      <c r="I27" s="22" t="s">
        <v>52</v>
      </c>
      <c r="J27" s="8" t="s">
        <v>49</v>
      </c>
      <c r="K27" s="8" t="s">
        <v>49</v>
      </c>
      <c r="L27" s="8" t="s">
        <v>49</v>
      </c>
      <c r="M27" s="8" t="s">
        <v>49</v>
      </c>
      <c r="N27" s="8" t="s">
        <v>49</v>
      </c>
      <c r="O27" s="8" t="s">
        <v>61</v>
      </c>
      <c r="P27" s="21" t="s">
        <v>55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20" t="s">
        <v>45</v>
      </c>
      <c r="B28" s="20" t="s">
        <v>85</v>
      </c>
      <c r="C28" s="21" t="s">
        <v>47</v>
      </c>
      <c r="D28" s="21" t="s">
        <v>48</v>
      </c>
      <c r="E28" s="8" t="s">
        <v>49</v>
      </c>
      <c r="F28" s="8" t="s">
        <v>50</v>
      </c>
      <c r="G28" s="8" t="s">
        <v>50</v>
      </c>
      <c r="H28" s="8" t="s">
        <v>51</v>
      </c>
      <c r="I28" s="22" t="s">
        <v>52</v>
      </c>
      <c r="J28" s="8" t="s">
        <v>53</v>
      </c>
      <c r="K28" s="8" t="s">
        <v>53</v>
      </c>
      <c r="L28" s="8" t="s">
        <v>53</v>
      </c>
      <c r="M28" s="8" t="s">
        <v>53</v>
      </c>
      <c r="N28" s="8" t="s">
        <v>86</v>
      </c>
      <c r="O28" s="8" t="s">
        <v>61</v>
      </c>
      <c r="P28" s="21" t="s">
        <v>55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P29" s="21"/>
    </row>
    <row r="1000">
      <c r="P1000" s="21"/>
    </row>
  </sheetData>
  <dataValidations>
    <dataValidation type="list" allowBlank="1" showErrorMessage="1" sqref="F2:F26">
      <formula1>"Ciências Exatas e da Terra,Ciências Biológicas,Engenharias,Ciências da Saúde,Ciências Agrárias,Ciências Socias Aplicadas,Ciências Humanas,Linguística,Letras e Artes"</formula1>
    </dataValidation>
    <dataValidation type="list" allowBlank="1" showErrorMessage="1" sqref="E2:E26 N2:N26 H2:H28">
      <formula1>"Sim,Não"</formula1>
    </dataValidation>
    <dataValidation type="list" allowBlank="1" showErrorMessage="1" sqref="I2:I28">
      <formula1>"Ensino,Pesquisa,Extensão,Ensino e pesquisa,Ensino e extensão,Pesquisa e extensão,Ensino pesquisa e extensão"</formula1>
    </dataValidation>
    <dataValidation type="list" allowBlank="1" showErrorMessage="1" sqref="G2:G26">
      <formula1>"Ciências Exatas e da Terra,Ciências Biológicas,Engenharias,Ciências da Saúde,Ciências Agrárias,Ciências Socias Aplicadas,Ciências Humanas,Linguística,Letras e Artes,Não se aplica"</formula1>
    </dataValidation>
    <dataValidation type="list" allowBlank="1" showErrorMessage="1" sqref="J2:M26 J28:M28">
      <formula1>"Sim,Não,Não se aplica"</formula1>
    </dataValidation>
  </dataValidations>
  <drawing r:id="rId1"/>
</worksheet>
</file>